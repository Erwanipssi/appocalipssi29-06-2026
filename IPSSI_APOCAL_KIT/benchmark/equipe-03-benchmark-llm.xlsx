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rde" sheetId="1" state="visible" r:id="rId3"/>
    <sheet name="Identification" sheetId="2" state="visible" r:id="rId4"/>
    <sheet name="Méthodologie" sheetId="3" state="visible" r:id="rId5"/>
    <sheet name="Modèles candidats" sheetId="4" state="visible" r:id="rId6"/>
    <sheet name="Résultats" sheetId="5" state="visible" r:id="rId7"/>
    <sheet name="Matrice de décis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<sst xmlns="http://schemas.openxmlformats.org/spreadsheetml/2006/main" count="162" uniqueCount="135">
  <si>
    <t xml:space="preserve">APOCAL'IPSSI</t>
  </si>
  <si>
    <t xml:space="preserve">PERTURBATION J2 · TECHNIQUE · BENCHMARK LLM</t>
  </si>
  <si>
    <t xml:space="preserve">Benchmark des modèles LLM locaux</t>
  </si>
  <si>
    <t xml:space="preserve">Choix du moteur de génération de quiz (US-03) — décision pré-ADR-0003</t>
  </si>
  <si>
    <t xml:space="preserve">Projet EduTutor IA · Équipe 3 · Édition 2026 · Semaine immersive Scrum</t>
  </si>
  <si>
    <t xml:space="preserve">Mesurer · Comparer · Documenter — exécuté 100% en local (souveraineté des données)</t>
  </si>
  <si>
    <t xml:space="preserve">IDENTIFICATION DU DOCUMENT</t>
  </si>
  <si>
    <t xml:space="preserve">À compléter par l'équipe avant chaque remise</t>
  </si>
  <si>
    <t xml:space="preserve">Équipe n°</t>
  </si>
  <si>
    <t xml:space="preserve">Équipe 3</t>
  </si>
  <si>
    <t xml:space="preserve">Membres</t>
  </si>
  <si>
    <t xml:space="preserve">Dillon AZAG, Youcef OULD KACI, Ahmed SADDIKI, Erwan MARCHAND, Steven JANSENS, Rayan Degane WAFO MBE, Nassim DEFLANDRE</t>
  </si>
  <si>
    <t xml:space="preserve">Sprint concerné</t>
  </si>
  <si>
    <t xml:space="preserve">Sprint 2 — perturbation J2 (décision technique : moteur LLM)</t>
  </si>
  <si>
    <t xml:space="preserve">Version</t>
  </si>
  <si>
    <t xml:space="preserve">v1.0 (initiale)</t>
  </si>
  <si>
    <t xml:space="preserve">Date de remise</t>
  </si>
  <si>
    <t xml:space="preserve">30/06/2026  18h00</t>
  </si>
  <si>
    <t xml:space="preserve">Statut</t>
  </si>
  <si>
    <t xml:space="preserve">Draft</t>
  </si>
  <si>
    <t xml:space="preserve">MÉTHODOLOGIE DU BENCHMARK (reproductible)</t>
  </si>
  <si>
    <t xml:space="preserve">Tâche réelle US-03 : générer 10 QCM en français à partir d'un cours fourni, en moins de 60 s, 100% en local.</t>
  </si>
  <si>
    <t xml:space="preserve">🎯 Objectif</t>
  </si>
  <si>
    <t xml:space="preserve">Comparer les modèles candidats sur la génération de quiz, pour arbitrer une éventuelle migration de modèle (perturbation J2) avec preuve chiffrée.</t>
  </si>
  <si>
    <t xml:space="preserve">📥 Entrée commune</t>
  </si>
  <si>
    <t xml:space="preserve">Même extrait de cours (~250 mots, « séparation des pouvoirs ») pour TOUS les modèles → résultats comparables. Voir COURS dans benchmark_llm.py.</t>
  </si>
  <si>
    <t xml:space="preserve">🔁 Procédure</t>
  </si>
  <si>
    <t xml:space="preserve">1 run de chauffe non chronométré (chargement du modèle en mémoire), puis N = 5 runs chronométrés par modèle. Température 0.2 (reproductibilité).</t>
  </si>
  <si>
    <t xml:space="preserve">⏱ Métriques auto</t>
  </si>
  <si>
    <t xml:space="preserve">Latence totale médiane (total_duration), min–max, débit tokens/s (eval_count/eval_duration), TTFT (load+prompt_eval), % de sorties JSON valides (10 QCM bien formés).</t>
  </si>
  <si>
    <t xml:space="preserve">🧑‍🏫 Métrique humaine</t>
  </si>
  <si>
    <t xml:space="preserve">Qualité pédagogique FR notée /10 sur 3 quiz/modèle (grille feuille « Résultats ») : la latence ne dit rien du fond.</t>
  </si>
  <si>
    <t xml:space="preserve">🖥 Environnement à tracer</t>
  </si>
  <si>
    <t xml:space="preserve">Machine, OS, CPU/GPU, RAM, version Ollama, quantization (Q4_0 par défaut), date. Indispensable pour la reproductibilité et l'ADR.</t>
  </si>
  <si>
    <t xml:space="preserve">📌 Règle d'or</t>
  </si>
  <si>
    <t xml:space="preserve">Mesurer avant d'optimiser. Ne migrer qu'après preuve (PoC). Tracer la décision et les trade-offs dans l'ADR-0003 + carte-rétro de perturbation.</t>
  </si>
  <si>
    <t xml:space="preserve">▶ Exécution</t>
  </si>
  <si>
    <t xml:space="preserve">Lancer Ollama (ollama serve), installer les modèles (ollama pull …), puis : python benchmark_llm.py. Reporter benchmark_resume.csv dans « Résultats ».</t>
  </si>
  <si>
    <t xml:space="preserve">MODÈLES CANDIDATS (specs réelles, disponibles sur Ollama)</t>
  </si>
  <si>
    <t xml:space="preserve">Tailles ~ quantization Q4 par défaut. Toutes ces options tournent 100% en local via Ollama.</t>
  </si>
  <si>
    <t xml:space="preserve">Modèle (Ollama)</t>
  </si>
  <si>
    <t xml:space="preserve">Éditeur</t>
  </si>
  <si>
    <t xml:space="preserve">Paramètres</t>
  </si>
  <si>
    <t xml:space="preserve">Taille ~Q4</t>
  </si>
  <si>
    <t xml:space="preserve">Contexte</t>
  </si>
  <si>
    <t xml:space="preserve">Français / multilingue</t>
  </si>
  <si>
    <t xml:space="preserve">Licence</t>
  </si>
  <si>
    <t xml:space="preserve">Local Ollama</t>
  </si>
  <si>
    <t xml:space="preserve">Points forts</t>
  </si>
  <si>
    <t xml:space="preserve">Points de vigilance</t>
  </si>
  <si>
    <t xml:space="preserve">llama3.1:8b</t>
  </si>
  <si>
    <t xml:space="preserve">Meta</t>
  </si>
  <si>
    <t xml:space="preserve">8 B</t>
  </si>
  <si>
    <t xml:space="preserve">~4,7 Go</t>
  </si>
  <si>
    <t xml:space="preserve">128K</t>
  </si>
  <si>
    <t xml:space="preserve">Multilingue correct (FR fiable)</t>
  </si>
  <si>
    <t xml:space="preserve">Llama 3.1 Community</t>
  </si>
  <si>
    <t xml:space="preserve">Oui</t>
  </si>
  <si>
    <t xml:space="preserve">Robuste, bon suivi d'instructions, FR solide (incumbent)</t>
  </si>
  <si>
    <t xml:space="preserve">Le plus lourd et le plus lent ; ~4,7 Go en mémoire</t>
  </si>
  <si>
    <t xml:space="preserve">phi3:mini</t>
  </si>
  <si>
    <t xml:space="preserve">Microsoft</t>
  </si>
  <si>
    <t xml:space="preserve">3,8 B</t>
  </si>
  <si>
    <t xml:space="preserve">~2,2 Go</t>
  </si>
  <si>
    <t xml:space="preserve">4K / 128K</t>
  </si>
  <si>
    <t xml:space="preserve">Entraîné surtout en anglais → FR plus faible</t>
  </si>
  <si>
    <t xml:space="preserve">MIT</t>
  </si>
  <si>
    <t xml:space="preserve">Très léger et rapide, faible latence, matériel contraint</t>
  </si>
  <si>
    <t xml:space="preserve">Qualité FR/factuelle en retrait — cible « officielle » J2 mais À VÉRIFIER en français</t>
  </si>
  <si>
    <t xml:space="preserve">phi3.5:mini</t>
  </si>
  <si>
    <t xml:space="preserve">Multilingue amélioré vs Phi-3</t>
  </si>
  <si>
    <t xml:space="preserve">Quasi aussi léger que Phi-3, ~15% plus rapide, meilleur FR</t>
  </si>
  <si>
    <t xml:space="preserve">Reste anglais-first : valider le rendu français</t>
  </si>
  <si>
    <t xml:space="preserve">qwen2.5:7b</t>
  </si>
  <si>
    <t xml:space="preserve">Alibaba</t>
  </si>
  <si>
    <t xml:space="preserve">7 B</t>
  </si>
  <si>
    <t xml:space="preserve">Fortement multilingue (FR solide)</t>
  </si>
  <si>
    <t xml:space="preserve">Apache 2.0</t>
  </si>
  <si>
    <t xml:space="preserve">Excellent FR + suivi d'instructions/JSON ; licence permissive</t>
  </si>
  <si>
    <t xml:space="preserve">Quasi aussi lourd que Llama 3.1 8B</t>
  </si>
  <si>
    <t xml:space="preserve">llama3.2:3b</t>
  </si>
  <si>
    <t xml:space="preserve">3 B</t>
  </si>
  <si>
    <t xml:space="preserve">~2,0 Go</t>
  </si>
  <si>
    <t xml:space="preserve">FR correct</t>
  </si>
  <si>
    <t xml:space="preserve">Llama 3.2 Community</t>
  </si>
  <si>
    <t xml:space="preserve">Léger et moderne, bon rapport FR/latence</t>
  </si>
  <si>
    <t xml:space="preserve">Moins robuste que 7–8 B sur les cas complexes</t>
  </si>
  <si>
    <t xml:space="preserve">gemma2:2b</t>
  </si>
  <si>
    <t xml:space="preserve">Google</t>
  </si>
  <si>
    <t xml:space="preserve">2 B</t>
  </si>
  <si>
    <t xml:space="preserve">~1,6 Go</t>
  </si>
  <si>
    <t xml:space="preserve">8K</t>
  </si>
  <si>
    <t xml:space="preserve">FR basique</t>
  </si>
  <si>
    <t xml:space="preserve">Gemma</t>
  </si>
  <si>
    <t xml:space="preserve">Ultra-léger (edge/mobile)</t>
  </si>
  <si>
    <t xml:space="preserve">Contexte 8K court ; qualité limitée pour 10 QCM ancrés</t>
  </si>
  <si>
    <t xml:space="preserve">RÉSULTATS MESURÉS (à remplir après exécution de benchmark_llm.py)</t>
  </si>
  <si>
    <t xml:space="preserve">Collez les chiffres de benchmark_resume.csv, puis notez la qualité FR à la main (grille en bas).</t>
  </si>
  <si>
    <t xml:space="preserve">Modèle</t>
  </si>
  <si>
    <t xml:space="preserve">Latence méd. (s)</t>
  </si>
  <si>
    <t xml:space="preserve">min–max (s)</t>
  </si>
  <si>
    <t xml:space="preserve">tok/s</t>
  </si>
  <si>
    <t xml:space="preserve">TTFT (s)</t>
  </si>
  <si>
    <t xml:space="preserve">JSON valide %</t>
  </si>
  <si>
    <t xml:space="preserve">&lt; 60 s ?</t>
  </si>
  <si>
    <t xml:space="preserve">Qualité FR /10</t>
  </si>
  <si>
    <t xml:space="preserve">GRILLE DE QUALITÉ PÉDAGOGIQUE FR (noter 3 quiz/modèle · 0–2 par critère · total /10)</t>
  </si>
  <si>
    <t xml:space="preserve">Critère</t>
  </si>
  <si>
    <t xml:space="preserve">Description</t>
  </si>
  <si>
    <t xml:space="preserve">Barème</t>
  </si>
  <si>
    <t xml:space="preserve">Pertinence</t>
  </si>
  <si>
    <t xml:space="preserve">Les questions portent réellement sur le cours fourni</t>
  </si>
  <si>
    <t xml:space="preserve">0–2</t>
  </si>
  <si>
    <t xml:space="preserve">Exactitude</t>
  </si>
  <si>
    <t xml:space="preserve">La « reponse_correcte » est effectivement la bonne</t>
  </si>
  <si>
    <t xml:space="preserve">Ancrage</t>
  </si>
  <si>
    <t xml:space="preserve">Aucune invention de faits hors du cours (anti-hallucination)</t>
  </si>
  <si>
    <t xml:space="preserve">Langue</t>
  </si>
  <si>
    <t xml:space="preserve">Français correct, questions claires et non ambiguës</t>
  </si>
  <si>
    <t xml:space="preserve">Format</t>
  </si>
  <si>
    <t xml:space="preserve">4 options plausibles, une seule correcte</t>
  </si>
  <si>
    <t xml:space="preserve">MATRICE DE DÉCISION PONDÉRÉE (table comparative pour l'ADR-0003)</t>
  </si>
  <si>
    <t xml:space="preserve">Score 0–5 par critère · total pondéré = Σ(poids × score). Scores INDICATIFS d'après specs — à CONFIRMER par la mesure.</t>
  </si>
  <si>
    <t xml:space="preserve">Poids</t>
  </si>
  <si>
    <t xml:space="preserve">Latence (&lt; 60 s pour 10 QCM)</t>
  </si>
  <si>
    <t xml:space="preserve">Qualité pédagogique FR</t>
  </si>
  <si>
    <t xml:space="preserve">Souveraineté / 100% local</t>
  </si>
  <si>
    <t xml:space="preserve">Empreinte RAM / coût matériel</t>
  </si>
  <si>
    <t xml:space="preserve">Fiabilité format (JSON, instructions)</t>
  </si>
  <si>
    <t xml:space="preserve">TOTAL PONDÉRÉ (/5)</t>
  </si>
  <si>
    <t xml:space="preserve">Lecture (à valider par la mesure) :</t>
  </si>
  <si>
    <t xml:space="preserve">• Phi-3-mini gagne sur la latence/RAM mais décroche sur le français → migration « par défaut » risquée pour un produit FR.</t>
  </si>
  <si>
    <t xml:space="preserve">• Qwen2.5 7B et Llama 3.2 3B offrent un meilleur compromis FR ↔ vitesse : candidats de migration plus défendables.</t>
  </si>
  <si>
    <t xml:space="preserve">• La souveraineté ne départage pas (tous 100% local) mais reste votre différenciateur vs concurrents cloud.</t>
  </si>
  <si>
    <t xml:space="preserve">Décision retenue (à compléter après mesure) :  ____________________  → tracer dans ADR-0003.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</si>
</sst>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E1B4B"/>
      <name val="Cambria"/>
      <family val="0"/>
      <charset val="1"/>
    </font>
    <font>
      <b val="true"/>
      <sz val="10"/>
      <color rgb="FF297AB8"/>
      <name val="Cambria"/>
      <family val="0"/>
      <charset val="1"/>
    </font>
    <font>
      <b val="true"/>
      <sz val="20"/>
      <color rgb="FF1E1B4B"/>
      <name val="Cambria"/>
      <family val="0"/>
      <charset val="1"/>
    </font>
    <font>
      <i val="true"/>
      <sz val="11"/>
      <color rgb="FF1E1B4B"/>
      <name val="Cambria"/>
      <family val="0"/>
      <charset val="1"/>
    </font>
    <font>
      <b val="true"/>
      <sz val="10"/>
      <color rgb="FF1E1B4B"/>
      <name val="Cambria"/>
      <family val="0"/>
      <charset val="1"/>
    </font>
    <font>
      <i val="true"/>
      <sz val="9"/>
      <color rgb="FF475569"/>
      <name val="Cambria"/>
      <family val="0"/>
      <charset val="1"/>
    </font>
    <font>
      <b val="true"/>
      <sz val="11"/>
      <color rgb="FF1E1B4B"/>
      <name val="Cambria"/>
      <family val="0"/>
      <charset val="1"/>
    </font>
    <font>
      <sz val="10"/>
      <color rgb="FF1E1B4B"/>
      <name val="Cambria"/>
      <family val="0"/>
      <charset val="1"/>
    </font>
    <font>
      <b val="true"/>
      <sz val="13"/>
      <color rgb="FF1E1B4B"/>
      <name val="Cambria"/>
      <family val="0"/>
      <charset val="1"/>
    </font>
    <font>
      <sz val="9"/>
      <color rgb="FF1E1B4B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9"/>
      <color rgb="FF1E1B4B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BF3FA"/>
        <bgColor rgb="FFE0E7FF"/>
      </patternFill>
    </fill>
    <fill>
      <patternFill patternType="solid">
        <fgColor rgb="FF1E1B4B"/>
        <bgColor rgb="FF003366"/>
      </patternFill>
    </fill>
    <fill>
      <patternFill patternType="solid">
        <fgColor rgb="FFE0E7FF"/>
        <bgColor rgb="FFEBF3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A"/>
      <rgbColor rgb="FF660066"/>
      <rgbColor rgb="FFFF8080"/>
      <rgbColor rgb="FF297AB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4A3B8"/>
      <rgbColor rgb="FF003366"/>
      <rgbColor rgb="FF339966"/>
      <rgbColor rgb="FF003300"/>
      <rgbColor rgb="FF333300"/>
      <rgbColor rgb="FF993300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24.4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5" t="s">
        <v>4</v>
      </c>
    </row>
    <row r="7" customFormat="false" ht="15" hidden="false" customHeight="false" outlineLevel="0" collapsed="false">
      <c r="B7" s="6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70"/>
  </cols>
  <sheetData>
    <row r="2" customFormat="false" ht="15" hidden="false" customHeight="false" outlineLevel="0" collapsed="false">
      <c r="B2" s="7" t="s">
        <v>6</v>
      </c>
    </row>
    <row r="3" customFormat="false" ht="15" hidden="false" customHeight="false" outlineLevel="0" collapsed="false">
      <c r="B3" s="6" t="s">
        <v>7</v>
      </c>
    </row>
    <row r="5" customFormat="false" ht="15" hidden="false" customHeight="false" outlineLevel="0" collapsed="false">
      <c r="B5" s="8" t="s">
        <v>8</v>
      </c>
      <c r="C5" s="9" t="s">
        <v>9</v>
      </c>
    </row>
    <row r="6" customFormat="false" ht="23.85" hidden="false" customHeight="false" outlineLevel="0" collapsed="false">
      <c r="B6" s="8" t="s">
        <v>10</v>
      </c>
      <c r="C6" s="9" t="s">
        <v>11</v>
      </c>
    </row>
    <row r="7" customFormat="false" ht="15" hidden="false" customHeight="false" outlineLevel="0" collapsed="false">
      <c r="B7" s="8" t="s">
        <v>12</v>
      </c>
      <c r="C7" s="9" t="s">
        <v>13</v>
      </c>
    </row>
    <row r="8" customFormat="false" ht="15" hidden="false" customHeight="false" outlineLevel="0" collapsed="false">
      <c r="B8" s="8" t="s">
        <v>14</v>
      </c>
      <c r="C8" s="9" t="s">
        <v>15</v>
      </c>
    </row>
    <row r="9" customFormat="false" ht="15" hidden="false" customHeight="false" outlineLevel="0" collapsed="false">
      <c r="B9" s="8" t="s">
        <v>16</v>
      </c>
      <c r="C9" s="9" t="s">
        <v>17</v>
      </c>
    </row>
    <row r="10" customFormat="false" ht="15" hidden="false" customHeight="false" outlineLevel="0" collapsed="false">
      <c r="B10" s="8" t="s">
        <v>18</v>
      </c>
      <c r="C10" s="9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4"/>
  </cols>
  <sheetData>
    <row r="1" customFormat="false" ht="16.15" hidden="false" customHeight="false" outlineLevel="0" collapsed="false">
      <c r="A1" s="10" t="s">
        <v>20</v>
      </c>
    </row>
    <row r="2" customFormat="false" ht="15" hidden="false" customHeight="false" outlineLevel="0" collapsed="false">
      <c r="A2" s="6" t="s">
        <v>21</v>
      </c>
    </row>
    <row r="4" customFormat="false" ht="42" hidden="false" customHeight="true" outlineLevel="0" collapsed="false">
      <c r="A4" s="11" t="s">
        <v>22</v>
      </c>
      <c r="B4" s="12" t="s">
        <v>23</v>
      </c>
    </row>
    <row r="5" customFormat="false" ht="42" hidden="false" customHeight="true" outlineLevel="0" collapsed="false">
      <c r="A5" s="11" t="s">
        <v>24</v>
      </c>
      <c r="B5" s="12" t="s">
        <v>25</v>
      </c>
    </row>
    <row r="6" customFormat="false" ht="42" hidden="false" customHeight="true" outlineLevel="0" collapsed="false">
      <c r="A6" s="11" t="s">
        <v>26</v>
      </c>
      <c r="B6" s="12" t="s">
        <v>27</v>
      </c>
    </row>
    <row r="7" customFormat="false" ht="42" hidden="false" customHeight="true" outlineLevel="0" collapsed="false">
      <c r="A7" s="11" t="s">
        <v>28</v>
      </c>
      <c r="B7" s="12" t="s">
        <v>29</v>
      </c>
    </row>
    <row r="8" customFormat="false" ht="42" hidden="false" customHeight="true" outlineLevel="0" collapsed="false">
      <c r="A8" s="11" t="s">
        <v>30</v>
      </c>
      <c r="B8" s="12" t="s">
        <v>31</v>
      </c>
    </row>
    <row r="9" customFormat="false" ht="42" hidden="false" customHeight="true" outlineLevel="0" collapsed="false">
      <c r="A9" s="11" t="s">
        <v>32</v>
      </c>
      <c r="B9" s="12" t="s">
        <v>33</v>
      </c>
    </row>
    <row r="10" customFormat="false" ht="42" hidden="false" customHeight="true" outlineLevel="0" collapsed="false">
      <c r="A10" s="11" t="s">
        <v>34</v>
      </c>
      <c r="B10" s="12" t="s">
        <v>35</v>
      </c>
    </row>
    <row r="11" customFormat="false" ht="42" hidden="false" customHeight="true" outlineLevel="0" collapsed="false">
      <c r="A11" s="11" t="s">
        <v>36</v>
      </c>
      <c r="B11" s="1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1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9"/>
    <col collapsed="false" customWidth="true" hidden="false" outlineLevel="0" max="9" min="9" style="0" width="34"/>
    <col collapsed="false" customWidth="true" hidden="false" outlineLevel="0" max="10" min="10" style="0" width="38"/>
  </cols>
  <sheetData>
    <row r="1" customFormat="false" ht="16.15" hidden="false" customHeight="false" outlineLevel="0" collapsed="false">
      <c r="A1" s="10" t="s">
        <v>38</v>
      </c>
    </row>
    <row r="2" customFormat="false" ht="15" hidden="false" customHeight="false" outlineLevel="0" collapsed="false">
      <c r="A2" s="6" t="s">
        <v>39</v>
      </c>
    </row>
    <row r="4" customFormat="false" ht="28.35" hidden="false" customHeight="false" outlineLevel="0" collapsed="false">
      <c r="A4" s="13" t="s">
        <v>40</v>
      </c>
      <c r="B4" s="13" t="s">
        <v>41</v>
      </c>
      <c r="C4" s="13" t="s">
        <v>42</v>
      </c>
      <c r="D4" s="13" t="s">
        <v>43</v>
      </c>
      <c r="E4" s="13" t="s">
        <v>44</v>
      </c>
      <c r="F4" s="13" t="s">
        <v>45</v>
      </c>
      <c r="G4" s="13" t="s">
        <v>46</v>
      </c>
      <c r="H4" s="13" t="s">
        <v>47</v>
      </c>
      <c r="I4" s="13" t="s">
        <v>48</v>
      </c>
      <c r="J4" s="13" t="s">
        <v>49</v>
      </c>
    </row>
    <row r="5" customFormat="false" ht="45.75" hidden="false" customHeight="true" outlineLevel="0" collapsed="false">
      <c r="A5" s="14" t="s">
        <v>50</v>
      </c>
      <c r="B5" s="15" t="s">
        <v>51</v>
      </c>
      <c r="C5" s="15" t="s">
        <v>52</v>
      </c>
      <c r="D5" s="15" t="s">
        <v>53</v>
      </c>
      <c r="E5" s="15" t="s">
        <v>54</v>
      </c>
      <c r="F5" s="15" t="s">
        <v>55</v>
      </c>
      <c r="G5" s="15" t="s">
        <v>56</v>
      </c>
      <c r="H5" s="15" t="s">
        <v>57</v>
      </c>
      <c r="I5" s="15" t="s">
        <v>58</v>
      </c>
      <c r="J5" s="15" t="s">
        <v>59</v>
      </c>
    </row>
    <row r="6" customFormat="false" ht="45.75" hidden="false" customHeight="true" outlineLevel="0" collapsed="false">
      <c r="A6" s="14" t="s">
        <v>60</v>
      </c>
      <c r="B6" s="15" t="s">
        <v>61</v>
      </c>
      <c r="C6" s="15" t="s">
        <v>62</v>
      </c>
      <c r="D6" s="15" t="s">
        <v>63</v>
      </c>
      <c r="E6" s="15" t="s">
        <v>64</v>
      </c>
      <c r="F6" s="15" t="s">
        <v>65</v>
      </c>
      <c r="G6" s="15" t="s">
        <v>66</v>
      </c>
      <c r="H6" s="15" t="s">
        <v>57</v>
      </c>
      <c r="I6" s="15" t="s">
        <v>67</v>
      </c>
      <c r="J6" s="15" t="s">
        <v>68</v>
      </c>
    </row>
    <row r="7" customFormat="false" ht="45.75" hidden="false" customHeight="true" outlineLevel="0" collapsed="false">
      <c r="A7" s="14" t="s">
        <v>69</v>
      </c>
      <c r="B7" s="15" t="s">
        <v>61</v>
      </c>
      <c r="C7" s="15" t="s">
        <v>62</v>
      </c>
      <c r="D7" s="15" t="s">
        <v>63</v>
      </c>
      <c r="E7" s="15" t="s">
        <v>54</v>
      </c>
      <c r="F7" s="15" t="s">
        <v>70</v>
      </c>
      <c r="G7" s="15" t="s">
        <v>66</v>
      </c>
      <c r="H7" s="15" t="s">
        <v>57</v>
      </c>
      <c r="I7" s="15" t="s">
        <v>71</v>
      </c>
      <c r="J7" s="15" t="s">
        <v>72</v>
      </c>
    </row>
    <row r="8" customFormat="false" ht="45.75" hidden="false" customHeight="true" outlineLevel="0" collapsed="false">
      <c r="A8" s="14" t="s">
        <v>73</v>
      </c>
      <c r="B8" s="15" t="s">
        <v>74</v>
      </c>
      <c r="C8" s="15" t="s">
        <v>75</v>
      </c>
      <c r="D8" s="15" t="s">
        <v>53</v>
      </c>
      <c r="E8" s="15" t="s">
        <v>54</v>
      </c>
      <c r="F8" s="15" t="s">
        <v>76</v>
      </c>
      <c r="G8" s="15" t="s">
        <v>77</v>
      </c>
      <c r="H8" s="15" t="s">
        <v>57</v>
      </c>
      <c r="I8" s="15" t="s">
        <v>78</v>
      </c>
      <c r="J8" s="15" t="s">
        <v>79</v>
      </c>
    </row>
    <row r="9" customFormat="false" ht="45.75" hidden="false" customHeight="true" outlineLevel="0" collapsed="false">
      <c r="A9" s="14" t="s">
        <v>80</v>
      </c>
      <c r="B9" s="15" t="s">
        <v>51</v>
      </c>
      <c r="C9" s="15" t="s">
        <v>81</v>
      </c>
      <c r="D9" s="15" t="s">
        <v>82</v>
      </c>
      <c r="E9" s="15" t="s">
        <v>54</v>
      </c>
      <c r="F9" s="15" t="s">
        <v>83</v>
      </c>
      <c r="G9" s="15" t="s">
        <v>84</v>
      </c>
      <c r="H9" s="15" t="s">
        <v>57</v>
      </c>
      <c r="I9" s="15" t="s">
        <v>85</v>
      </c>
      <c r="J9" s="15" t="s">
        <v>86</v>
      </c>
    </row>
    <row r="10" customFormat="false" ht="45.75" hidden="false" customHeight="true" outlineLevel="0" collapsed="false">
      <c r="A10" s="14" t="s">
        <v>87</v>
      </c>
      <c r="B10" s="15" t="s">
        <v>88</v>
      </c>
      <c r="C10" s="15" t="s">
        <v>89</v>
      </c>
      <c r="D10" s="15" t="s">
        <v>90</v>
      </c>
      <c r="E10" s="15" t="s">
        <v>91</v>
      </c>
      <c r="F10" s="15" t="s">
        <v>92</v>
      </c>
      <c r="G10" s="15" t="s">
        <v>93</v>
      </c>
      <c r="H10" s="15" t="s">
        <v>57</v>
      </c>
      <c r="I10" s="15" t="s">
        <v>94</v>
      </c>
      <c r="J10" s="15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16.15" hidden="false" customHeight="false" outlineLevel="0" collapsed="false">
      <c r="A1" s="10" t="s">
        <v>96</v>
      </c>
    </row>
    <row r="2" customFormat="false" ht="15" hidden="false" customHeight="false" outlineLevel="0" collapsed="false">
      <c r="A2" s="6" t="s">
        <v>97</v>
      </c>
    </row>
    <row r="4" customFormat="false" ht="15" hidden="false" customHeight="false" outlineLevel="0" collapsed="false">
      <c r="A4" s="13" t="s">
        <v>98</v>
      </c>
      <c r="B4" s="13" t="s">
        <v>99</v>
      </c>
      <c r="C4" s="13" t="s">
        <v>100</v>
      </c>
      <c r="D4" s="13" t="s">
        <v>101</v>
      </c>
      <c r="E4" s="13" t="s">
        <v>102</v>
      </c>
      <c r="F4" s="13" t="s">
        <v>103</v>
      </c>
      <c r="G4" s="13" t="s">
        <v>104</v>
      </c>
      <c r="H4" s="13" t="s">
        <v>105</v>
      </c>
    </row>
    <row r="5" customFormat="false" ht="21.75" hidden="false" customHeight="true" outlineLevel="0" collapsed="false">
      <c r="A5" s="14" t="s">
        <v>50</v>
      </c>
      <c r="B5" s="16"/>
      <c r="C5" s="16"/>
      <c r="D5" s="16"/>
      <c r="E5" s="16"/>
      <c r="F5" s="16"/>
      <c r="G5" s="16"/>
      <c r="H5" s="16"/>
    </row>
    <row r="6" customFormat="false" ht="21.75" hidden="false" customHeight="true" outlineLevel="0" collapsed="false">
      <c r="A6" s="14" t="s">
        <v>60</v>
      </c>
      <c r="B6" s="16"/>
      <c r="C6" s="16"/>
      <c r="D6" s="16"/>
      <c r="E6" s="16"/>
      <c r="F6" s="16"/>
      <c r="G6" s="16"/>
      <c r="H6" s="16"/>
    </row>
    <row r="7" customFormat="false" ht="21.75" hidden="false" customHeight="true" outlineLevel="0" collapsed="false">
      <c r="A7" s="14" t="s">
        <v>73</v>
      </c>
      <c r="B7" s="16"/>
      <c r="C7" s="16"/>
      <c r="D7" s="16"/>
      <c r="E7" s="16"/>
      <c r="F7" s="16"/>
      <c r="G7" s="16"/>
      <c r="H7" s="16"/>
    </row>
    <row r="8" customFormat="false" ht="21.75" hidden="false" customHeight="true" outlineLevel="0" collapsed="false">
      <c r="A8" s="14" t="s">
        <v>80</v>
      </c>
      <c r="B8" s="16"/>
      <c r="C8" s="16"/>
      <c r="D8" s="16"/>
      <c r="E8" s="16"/>
      <c r="F8" s="16"/>
      <c r="G8" s="16"/>
      <c r="H8" s="16"/>
    </row>
    <row r="11" customFormat="false" ht="15" hidden="false" customHeight="false" outlineLevel="0" collapsed="false">
      <c r="A11" s="7" t="s">
        <v>106</v>
      </c>
    </row>
    <row r="13" customFormat="false" ht="15" hidden="false" customHeight="false" outlineLevel="0" collapsed="false">
      <c r="A13" s="13" t="s">
        <v>107</v>
      </c>
      <c r="B13" s="13" t="s">
        <v>108</v>
      </c>
      <c r="C13" s="13" t="s">
        <v>109</v>
      </c>
    </row>
    <row r="14" customFormat="false" ht="15" hidden="false" customHeight="false" outlineLevel="0" collapsed="false">
      <c r="A14" s="14" t="s">
        <v>110</v>
      </c>
      <c r="B14" s="15" t="s">
        <v>111</v>
      </c>
      <c r="C14" s="16" t="s">
        <v>112</v>
      </c>
    </row>
    <row r="15" customFormat="false" ht="15" hidden="false" customHeight="false" outlineLevel="0" collapsed="false">
      <c r="A15" s="14" t="s">
        <v>113</v>
      </c>
      <c r="B15" s="15" t="s">
        <v>114</v>
      </c>
      <c r="C15" s="16" t="s">
        <v>112</v>
      </c>
    </row>
    <row r="16" customFormat="false" ht="15" hidden="false" customHeight="false" outlineLevel="0" collapsed="false">
      <c r="A16" s="14" t="s">
        <v>115</v>
      </c>
      <c r="B16" s="15" t="s">
        <v>116</v>
      </c>
      <c r="C16" s="16" t="s">
        <v>112</v>
      </c>
    </row>
    <row r="17" customFormat="false" ht="15" hidden="false" customHeight="false" outlineLevel="0" collapsed="false">
      <c r="A17" s="14" t="s">
        <v>117</v>
      </c>
      <c r="B17" s="15" t="s">
        <v>118</v>
      </c>
      <c r="C17" s="16" t="s">
        <v>112</v>
      </c>
    </row>
    <row r="18" customFormat="false" ht="15" hidden="false" customHeight="false" outlineLevel="0" collapsed="false">
      <c r="A18" s="14" t="s">
        <v>119</v>
      </c>
      <c r="B18" s="15" t="s">
        <v>120</v>
      </c>
      <c r="C18" s="16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6" min="3" style="0" width="15"/>
  </cols>
  <sheetData>
    <row r="1" customFormat="false" ht="16.15" hidden="false" customHeight="false" outlineLevel="0" collapsed="false">
      <c r="A1" s="10" t="s">
        <v>121</v>
      </c>
    </row>
    <row r="2" customFormat="false" ht="15" hidden="false" customHeight="false" outlineLevel="0" collapsed="false">
      <c r="A2" s="6" t="s">
        <v>122</v>
      </c>
    </row>
    <row r="4" customFormat="false" ht="15" hidden="false" customHeight="false" outlineLevel="0" collapsed="false">
      <c r="A4" s="13" t="s">
        <v>107</v>
      </c>
      <c r="B4" s="13" t="s">
        <v>123</v>
      </c>
      <c r="C4" s="13" t="s">
        <v>50</v>
      </c>
      <c r="D4" s="13" t="s">
        <v>60</v>
      </c>
      <c r="E4" s="13" t="s">
        <v>73</v>
      </c>
      <c r="F4" s="13" t="s">
        <v>80</v>
      </c>
    </row>
    <row r="5" customFormat="false" ht="15" hidden="false" customHeight="false" outlineLevel="0" collapsed="false">
      <c r="A5" s="14" t="s">
        <v>124</v>
      </c>
      <c r="B5" s="17" t="n">
        <v>0.3</v>
      </c>
      <c r="C5" s="18" t="n">
        <v>2</v>
      </c>
      <c r="D5" s="18" t="n">
        <v>5</v>
      </c>
      <c r="E5" s="18" t="n">
        <v>3</v>
      </c>
      <c r="F5" s="18" t="n">
        <v>4</v>
      </c>
    </row>
    <row r="6" customFormat="false" ht="15" hidden="false" customHeight="false" outlineLevel="0" collapsed="false">
      <c r="A6" s="14" t="s">
        <v>125</v>
      </c>
      <c r="B6" s="17" t="n">
        <v>0.3</v>
      </c>
      <c r="C6" s="18" t="n">
        <v>4</v>
      </c>
      <c r="D6" s="18" t="n">
        <v>2</v>
      </c>
      <c r="E6" s="18" t="n">
        <v>5</v>
      </c>
      <c r="F6" s="18" t="n">
        <v>3</v>
      </c>
    </row>
    <row r="7" customFormat="false" ht="15" hidden="false" customHeight="false" outlineLevel="0" collapsed="false">
      <c r="A7" s="14" t="s">
        <v>126</v>
      </c>
      <c r="B7" s="17" t="n">
        <v>0.15</v>
      </c>
      <c r="C7" s="18" t="n">
        <v>5</v>
      </c>
      <c r="D7" s="18" t="n">
        <v>5</v>
      </c>
      <c r="E7" s="18" t="n">
        <v>5</v>
      </c>
      <c r="F7" s="18" t="n">
        <v>5</v>
      </c>
    </row>
    <row r="8" customFormat="false" ht="15" hidden="false" customHeight="false" outlineLevel="0" collapsed="false">
      <c r="A8" s="14" t="s">
        <v>127</v>
      </c>
      <c r="B8" s="17" t="n">
        <v>0.15</v>
      </c>
      <c r="C8" s="18" t="n">
        <v>2</v>
      </c>
      <c r="D8" s="18" t="n">
        <v>5</v>
      </c>
      <c r="E8" s="18" t="n">
        <v>3</v>
      </c>
      <c r="F8" s="18" t="n">
        <v>4</v>
      </c>
    </row>
    <row r="9" customFormat="false" ht="15" hidden="false" customHeight="false" outlineLevel="0" collapsed="false">
      <c r="A9" s="14" t="s">
        <v>128</v>
      </c>
      <c r="B9" s="17" t="n">
        <v>0.1</v>
      </c>
      <c r="C9" s="18" t="n">
        <v>4</v>
      </c>
      <c r="D9" s="18" t="n">
        <v>3</v>
      </c>
      <c r="E9" s="18" t="n">
        <v>4</v>
      </c>
      <c r="F9" s="18" t="n">
        <v>3</v>
      </c>
    </row>
    <row r="10" customFormat="false" ht="15" hidden="false" customHeight="false" outlineLevel="0" collapsed="false">
      <c r="A10" s="19" t="s">
        <v>129</v>
      </c>
      <c r="B10" s="20"/>
      <c r="C10" s="21" t="n">
        <f aca="false">SUMPRODUCT($B$5:$B$9,C5:C9)</f>
        <v>3.25</v>
      </c>
      <c r="D10" s="21" t="n">
        <f aca="false">SUMPRODUCT($B$5:$B$9,D5:D9)</f>
        <v>3.9</v>
      </c>
      <c r="E10" s="21" t="n">
        <f aca="false">SUMPRODUCT($B$5:$B$9,E5:E9)</f>
        <v>4</v>
      </c>
      <c r="F10" s="21" t="n">
        <f aca="false">SUMPRODUCT($B$5:$B$9,F5:F9)</f>
        <v>3.75</v>
      </c>
    </row>
    <row r="12" customFormat="false" ht="15" hidden="false" customHeight="false" outlineLevel="0" collapsed="false">
      <c r="A12" s="22" t="s">
        <v>130</v>
      </c>
    </row>
    <row r="13" customFormat="false" ht="15" hidden="false" customHeight="false" outlineLevel="0" collapsed="false">
      <c r="A13" s="23" t="s">
        <v>131</v>
      </c>
    </row>
    <row r="14" customFormat="false" ht="15" hidden="false" customHeight="false" outlineLevel="0" collapsed="false">
      <c r="A14" s="23" t="s">
        <v>132</v>
      </c>
    </row>
    <row r="15" customFormat="false" ht="15" hidden="false" customHeight="false" outlineLevel="0" collapsed="false">
      <c r="A15" s="23" t="s">
        <v>133</v>
      </c>
    </row>
    <row r="17" customFormat="false" ht="15" hidden="false" customHeight="false" outlineLevel="0" collapsed="false">
      <c r="A17" s="2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2026-06-30T11:39:39Z</dcterms:created>
  <dc:creator>openpyxl</dc:creator>
  <dc:description/>
  <dc:language>en-US</dc:language>
  <cp:lastModifiedBy/>
  <dcterms:modified xsi:type="dcterms:W3CDTF">2026-06-30T11:39:39Z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