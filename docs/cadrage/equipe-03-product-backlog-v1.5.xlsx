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zag\Desktop\claude brain\apocalipssi\sources-brutes\"/>
    </mc:Choice>
  </mc:AlternateContent>
  <xr:revisionPtr revIDLastSave="0" documentId="13_ncr:1_{94FBEF9B-713F-4C02-A2FA-18AF600ED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ynthèse" sheetId="2" r:id="rId2"/>
    <sheet name="DoR-DoD" sheetId="3" r:id="rId3"/>
    <sheet name="Histori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B7" i="2"/>
  <c r="C6" i="2"/>
  <c r="B6" i="2"/>
  <c r="C5" i="2"/>
  <c r="B5" i="2"/>
  <c r="C4" i="2"/>
  <c r="C8" i="2" s="1"/>
  <c r="B4" i="2"/>
  <c r="B8" i="2" s="1"/>
  <c r="F37" i="1"/>
</calcChain>
</file>

<file path=xl/sharedStrings.xml><?xml version="1.0" encoding="utf-8"?>
<sst xmlns="http://schemas.openxmlformats.org/spreadsheetml/2006/main" count="335" uniqueCount="166">
  <si>
    <t>APOCAL'IPSSI 2026 · EduTutor IA — PRODUCT BACKLOG</t>
  </si>
  <si>
    <t>ID</t>
  </si>
  <si>
    <t>Epic</t>
  </si>
  <si>
    <t>User Story (INVEST)</t>
  </si>
  <si>
    <t>Critères d'acceptation (Given / When / Then)</t>
  </si>
  <si>
    <t>MoSCoW</t>
  </si>
  <si>
    <t>SP</t>
  </si>
  <si>
    <t>Release</t>
  </si>
  <si>
    <t>Sprint</t>
  </si>
  <si>
    <t>Statut</t>
  </si>
  <si>
    <t>Ajoutée</t>
  </si>
  <si>
    <t>US-01</t>
  </si>
  <si>
    <t>1. Auth &amp; Compte</t>
  </si>
  <si>
    <t>En tant qu'utilisateur, je veux créer un compte via email (validation par lien) afin d'accéder à l'app.</t>
  </si>
  <si>
    <t>Given un email valide / When je m'inscris / Then je reçois un lien et mon compte est activé.</t>
  </si>
  <si>
    <t>MUST</t>
  </si>
  <si>
    <t>R1</t>
  </si>
  <si>
    <t>S1</t>
  </si>
  <si>
    <t>Fait</t>
  </si>
  <si>
    <t>v1.0</t>
  </si>
  <si>
    <t>US-02</t>
  </si>
  <si>
    <t>En tant qu'utilisateur, je veux me connecter/déconnecter afin de retrouver mes données.</t>
  </si>
  <si>
    <t>Given un compte activé / When je saisis mes identifiants / Then j'accède à mon espace.</t>
  </si>
  <si>
    <t>US-03</t>
  </si>
  <si>
    <t>En tant qu'utilisateur, je veux réinitialiser mon mot de passe afin de récupérer l'accès.</t>
  </si>
  <si>
    <t>Given un email connu / When je demande un reset / Then je reçois un lien de réinitialisation.</t>
  </si>
  <si>
    <t>S2</t>
  </si>
  <si>
    <t>US-04</t>
  </si>
  <si>
    <t>En tant qu'utilisateur, je veux gérer ma page profil afin de mettre à jour mes infos.</t>
  </si>
  <si>
    <t>SHOULD</t>
  </si>
  <si>
    <t>US-05</t>
  </si>
  <si>
    <t>2. Saisie de cours</t>
  </si>
  <si>
    <t>En tant qu'étudiant, je veux uploader un PDF (≤5 Mo) afin de générer un quiz depuis mon cours.</t>
  </si>
  <si>
    <t>Given un PDF ≤5 Mo / When je l'uploade / Then le texte est extrait et prêt.</t>
  </si>
  <si>
    <t>US-06</t>
  </si>
  <si>
    <t>En tant qu'étudiant, je veux coller un texte (≥200 car.) afin de générer un quiz sans PDF.</t>
  </si>
  <si>
    <t>Given un texte ≥200 car. / When je le soumets / Then il est accepté.</t>
  </si>
  <si>
    <t>US-07</t>
  </si>
  <si>
    <t>3. Génération quiz</t>
  </si>
  <si>
    <t>En tant qu'étudiant, je veux générer 10 QCM automatiquement (LLM local) afin de réviser.</t>
  </si>
  <si>
    <t>Given un cours fourni / When je génère / Then j'obtiens 10 QCM valides en &lt;60 s.</t>
  </si>
  <si>
    <t>S3</t>
  </si>
  <si>
    <t>US-08</t>
  </si>
  <si>
    <t>En tant qu'équipe, je veux un moteur LLM performant et souverain (benchmark + ADR) afin de tenir le &lt;60 s.</t>
  </si>
  <si>
    <t>Given plusieurs modèles / When je benchmarke (p50/p95) / Then je tranche via ADR.</t>
  </si>
  <si>
    <t>v1.2</t>
  </si>
  <si>
    <t>US-09</t>
  </si>
  <si>
    <t>4. Correction &amp; Score</t>
  </si>
  <si>
    <t>En tant qu'étudiant, je veux soumettre mes réponses et être corrigé auto afin de voir mes erreurs.</t>
  </si>
  <si>
    <t>Given un quiz répondu / When je soumets / Then chaque QCM est corrigé (1 bonne rép.).</t>
  </si>
  <si>
    <t>S4</t>
  </si>
  <si>
    <t>US-10</t>
  </si>
  <si>
    <t>En tant qu'étudiant, je veux voir mon score /10 + le détail afin de cibler mes lacunes.</t>
  </si>
  <si>
    <t>Given un quiz corrigé / When j'affiche le résultat / Then je vois score /10 + bonnes/mauvaises.</t>
  </si>
  <si>
    <t>US-11</t>
  </si>
  <si>
    <t>5. Historique &amp; Suivi</t>
  </si>
  <si>
    <t>En tant qu'étudiant, je veux un historique persisté de mes quiz afin de suivre ma progression.</t>
  </si>
  <si>
    <t>Given des quiz passés / When j'ouvre l'historique / Then je vois date, cours, score.</t>
  </si>
  <si>
    <t>US-12</t>
  </si>
  <si>
    <t>En tant qu'étudiant, je veux des statistiques de progression afin de me motiver.</t>
  </si>
  <si>
    <t>COULD</t>
  </si>
  <si>
    <t>R2</t>
  </si>
  <si>
    <t>S6</t>
  </si>
  <si>
    <t>À faire</t>
  </si>
  <si>
    <t>US-13</t>
  </si>
  <si>
    <t>6. Enseignant (R2)</t>
  </si>
  <si>
    <t>En tant qu'enseignante, je veux relire/éditer les questions générées avant diffusion afin d'en garantir l'exactitude.</t>
  </si>
  <si>
    <t>S7</t>
  </si>
  <si>
    <t>v1.1</t>
  </si>
  <si>
    <t>US-14</t>
  </si>
  <si>
    <t>En tant qu'enseignante, je veux exporter le quiz en PDF mis en page afin de le distribuer en classe.</t>
  </si>
  <si>
    <t>US-15</t>
  </si>
  <si>
    <t>En tant qu'enseignante, je veux organiser mes quiz par matière/classe afin de les réutiliser.</t>
  </si>
  <si>
    <t>S8</t>
  </si>
  <si>
    <t>US-16</t>
  </si>
  <si>
    <t>En tant qu'enseignante, je veux suivre l'engagement de ma classe afin d'adapter mon cours.</t>
  </si>
  <si>
    <t>US-17</t>
  </si>
  <si>
    <t>7. Sécurité &amp; Conformité</t>
  </si>
  <si>
    <t>En tant qu'équipe, je veux durcir l'app contre la prompt injection (OWASP LLM-01) afin de protéger le service.</t>
  </si>
  <si>
    <t>Given 5 attaques adversariales / When je teste (pytest) / Then elles sont bloquées.</t>
  </si>
  <si>
    <t>S5</t>
  </si>
  <si>
    <t>v1.3</t>
  </si>
  <si>
    <t>US-18</t>
  </si>
  <si>
    <t>En tant qu'utilisateur, je veux exporter mes données (SAR RGPD) afin d'exercer mes droits.</t>
  </si>
  <si>
    <t>Given un utilisateur connecté / When je demande l'export / Then je reçois MES données filtrées.</t>
  </si>
  <si>
    <t>v1.4</t>
  </si>
  <si>
    <t>US-19</t>
  </si>
  <si>
    <t>En tant qu'utilisateur, je veux des pages légales complètes afin d'être informé.</t>
  </si>
  <si>
    <t>Given les 4 pages légales / When je les consulte / Then elles sont complètes et à jour.</t>
  </si>
  <si>
    <t>US-20</t>
  </si>
  <si>
    <t>En tant qu'utilisateur, je veux supprimer mon compte/données afin d'exercer mon droit à l'oubli.</t>
  </si>
  <si>
    <t>US-21</t>
  </si>
  <si>
    <t>8. Passage à l'échelle</t>
  </si>
  <si>
    <t>[scale] En tant qu'exploitant, je veux test de charge + cache + autoscaling afin d'absorber le pic national.</t>
  </si>
  <si>
    <t>Given un pic de trafic / When la charge monte / Then l'app scale sans tomber (SLA).</t>
  </si>
  <si>
    <t>v1.5</t>
  </si>
  <si>
    <t>US-22</t>
  </si>
  <si>
    <t>[scale] En tant qu'exploitant, je veux une file d'attente asynchrone pour le LLM afin de lisser la charge.</t>
  </si>
  <si>
    <t>US-23</t>
  </si>
  <si>
    <t>[scale] En tant qu'exploitant, je veux un fournisseur LLM de secours afin d'assurer la résilience.</t>
  </si>
  <si>
    <t>US-24</t>
  </si>
  <si>
    <t>[a11y] En tant qu'utilisateur en situation de handicap, je veux navigation clavier + focus visible afin d'utiliser l'app.</t>
  </si>
  <si>
    <t>Given l'app / When je navigue au clavier / Then tout est atteignable, focus visible.</t>
  </si>
  <si>
    <t>US-25</t>
  </si>
  <si>
    <t>[a11y] En tant qu'utilisateur malvoyant, je veux contrastes AA + alternatives textuelles afin de lire le contenu.</t>
  </si>
  <si>
    <t>Given un contenu / When je l'affiche / Then contraste ≥4,5:1 et alt présents.</t>
  </si>
  <si>
    <t>US-26</t>
  </si>
  <si>
    <t>[a11y] En tant qu'utilisateur, je veux une compatibilité lecteur d'écran (ARIA) afin de naviguer les quiz.</t>
  </si>
  <si>
    <t>US-27</t>
  </si>
  <si>
    <t>[i18n] En tant qu'utilisateur international, je veux des textes externalisés (fichiers de langue) afin de traduire l'UI.</t>
  </si>
  <si>
    <t>Given l'UI / When je change de langue / Then tous les textes sont traduits (clés).</t>
  </si>
  <si>
    <t>US-28</t>
  </si>
  <si>
    <t>[i18n] En tant qu'utilisateur, je veux un sélecteur de langue (+ html lang) afin de choisir ma langue.</t>
  </si>
  <si>
    <t>US-29</t>
  </si>
  <si>
    <t>[i18n] En tant qu'élève, je veux que le LLM réponde dans ma langue à la volée afin de réviser en espagnol.</t>
  </si>
  <si>
    <t>US-30</t>
  </si>
  <si>
    <t>9. WON'T (hors scope)</t>
  </si>
  <si>
    <t>[WON'T] Adaptation auto du niveau de difficulté à la classe (calibrage pédagogique avancé).</t>
  </si>
  <si>
    <t>WON'T</t>
  </si>
  <si>
    <t>—</t>
  </si>
  <si>
    <t>Exclu</t>
  </si>
  <si>
    <t>US-31</t>
  </si>
  <si>
    <t>[WON'T] Mode multi-établissement / partage entre enseignant·es.</t>
  </si>
  <si>
    <t>US-32</t>
  </si>
  <si>
    <t>[WON'T] Dashboard ROI exportable pour la direction (cycle B2B).</t>
  </si>
  <si>
    <t>TOTAL SP (backlog complet)</t>
  </si>
  <si>
    <t>Synthèse MoSCoW (SP par priorité)</t>
  </si>
  <si>
    <t>Priorité</t>
  </si>
  <si>
    <t>Nb US</t>
  </si>
  <si>
    <t>Somme SP</t>
  </si>
  <si>
    <t>Commentaire</t>
  </si>
  <si>
    <t>Périmètre non négociable (R1 + sécu/RGPD)</t>
  </si>
  <si>
    <t>Fortement souhaité, surtout Release 2</t>
  </si>
  <si>
    <t>Si capacité disponible</t>
  </si>
  <si>
    <t>Hors scope semaine (tracé volontairement)</t>
  </si>
  <si>
    <t>TOTAL</t>
  </si>
  <si>
    <t>Definition of Ready / Definition of Done</t>
  </si>
  <si>
    <t>Definition of Ready (DoR)</t>
  </si>
  <si>
    <t>Definition of Done (DoD)</t>
  </si>
  <si>
    <t>☐ User story au format INVEST (indépendante, négociable, valeur, estimable, small, testable)</t>
  </si>
  <si>
    <t>☐ Code développé + revu (pull request approuvée)</t>
  </si>
  <si>
    <t>☐ Critères d'acceptation Given/When/Then rédigés</t>
  </si>
  <si>
    <t>☐ Tests unitaires/adversariaux passants (CI verte)</t>
  </si>
  <si>
    <t>☐ Estimée en story points par l'équipe (planning poker)</t>
  </si>
  <si>
    <t>☐ Critères d'acceptation vérifiés en démo</t>
  </si>
  <si>
    <t>☐ Priorisée MoSCoW par le PO</t>
  </si>
  <si>
    <t>☐ Documentation / commit Conventional Commits à jour</t>
  </si>
  <si>
    <t>☐ Dépendances identifiées, maquette/contrat d'API si nécessaire</t>
  </si>
  <si>
    <t>☐ Déployable via Docker Compose, aucune régression</t>
  </si>
  <si>
    <t>Historique des versions — Product Backlog</t>
  </si>
  <si>
    <t>Version</t>
  </si>
  <si>
    <t>Jour / Date</t>
  </si>
  <si>
    <t>Évolution (ce qui a changé)</t>
  </si>
  <si>
    <t>Cadrage — 29/06 (matin)</t>
  </si>
  <si>
    <t>Création cadrage : F1-F6 (MUST), stories Release 2 (SHOULD/COULD), WON'T justifiés. 9 Epics.</t>
  </si>
  <si>
    <t>J1 — 29/06 (Produit)</t>
  </si>
  <si>
    <t>Enseignante Mme Lefèvre confirmée persona PRIMAIRE : ajout US-13→16 (Epic Enseignant R2) + WON'T. Repriorisation MoSCoW.</t>
  </si>
  <si>
    <t>J2 — 30/06 (Technique)</t>
  </si>
  <si>
    <t>Décision moteur LLM (benchmark + ADR) : US-08 ajoutée/ré-estimée (souveraineté + &lt;60 s).</t>
  </si>
  <si>
    <t>J3 — 01/07 (Sécurité)</t>
  </si>
  <si>
    <t>Prompt injection (OWASP LLM-01) : US-17 + 5 tests adversariaux.</t>
  </si>
  <si>
    <t>J4 — 01/07 (RGPD / SAR)</t>
  </si>
  <si>
    <t>Conformité RGPD : US-18 (export SAR), US-19 (pages légales), US-20 (droit à l'oubli).</t>
  </si>
  <si>
    <t>J5 — 02/07 (Passage à l'échelle)</t>
  </si>
  <si>
    <t>Ajout Epic Passage à l'échelle : [scale] US-21→23, [a11y] US-24→26, [i18n] US-27→29. Items [risk] liés à l'analyse de risques. Repriorisation Release 2.</t>
  </si>
  <si>
    <t>Équipe 3 — Dillon AZAG, Youcef OULD KACI, Erwan MARCHAND, Steven JANSENS, Rayan Degane WAFO MBE, Nassim DEFLANDRE  |  Priorisation MoSCoW · format INVEST · Given/When/Then (MUST)  |  v1.5 (J5, 02/07/2026)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</si>
</sst>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8"/>
      <color rgb="FF475569"/>
      <name val="Arial"/>
    </font>
    <font>
      <b/>
      <sz val="9"/>
      <color rgb="FFFFFFFF"/>
      <name val="Arial"/>
    </font>
    <font>
      <sz val="9"/>
      <color rgb="FF0F172A"/>
      <name val="Arial"/>
    </font>
    <font>
      <b/>
      <sz val="8"/>
      <color rgb="FF0F172A"/>
      <name val="Arial"/>
    </font>
    <font>
      <b/>
      <sz val="9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b/>
      <sz val="11"/>
      <color rgb="FF1E1B4B"/>
      <name val="Arial"/>
    </font>
  </fonts>
  <fills count="8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5E7EB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11" fillId="7" borderId="1" xfId="0" applyFont="1" applyFill="1" applyBorder="1"/>
    <xf numFmtId="0" fontId="0" fillId="7" borderId="1" xfId="0" applyFill="1" applyBorder="1"/>
    <xf numFmtId="0" fontId="12" fillId="0" borderId="0" xfId="0" applyFont="1"/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 wrapText="1"/>
    </xf>
    <xf numFmtId="0" fontId="7" fillId="2" borderId="0" xfId="0" applyFont="1" applyFill="1" applyAlignment="1">
      <alignment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showGridLines="0" tabSelected="1" workbookViewId="0">
      <pane ySplit="4" topLeftCell="A5" activePane="bottomLeft" state="frozen"/>
      <selection pane="bottomLeft" activeCell="A2" sqref="A2:J2"/>
    </sheetView>
  </sheetViews>
  <sheetFormatPr baseColWidth="10" defaultColWidth="8.88671875" defaultRowHeight="14.4" x14ac:dyDescent="0.3"/>
  <cols>
    <col min="1" max="1" width="7" customWidth="1"/>
    <col min="2" max="2" width="20" customWidth="1"/>
    <col min="3" max="4" width="44" customWidth="1"/>
    <col min="5" max="5" width="8" customWidth="1"/>
    <col min="6" max="6" width="5" customWidth="1"/>
    <col min="7" max="7" width="8" customWidth="1"/>
    <col min="8" max="8" width="7" customWidth="1"/>
    <col min="9" max="9" width="9" customWidth="1"/>
    <col min="10" max="10" width="8" customWidth="1"/>
  </cols>
  <sheetData>
    <row r="1" spans="1:10" ht="25.95" customHeight="1" x14ac:dyDescent="0.3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6.05" customHeight="1" x14ac:dyDescent="0.3">
      <c r="A2" s="27" t="s">
        <v>165</v>
      </c>
      <c r="B2" s="24"/>
      <c r="C2" s="24"/>
      <c r="D2" s="24"/>
      <c r="E2" s="24"/>
      <c r="F2" s="24"/>
      <c r="G2" s="24"/>
      <c r="H2" s="24"/>
      <c r="I2" s="24"/>
      <c r="J2" s="24"/>
    </row>
    <row r="4" spans="1:10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22.8" x14ac:dyDescent="0.3">
      <c r="A5" s="2" t="s">
        <v>11</v>
      </c>
      <c r="B5" s="3" t="s">
        <v>12</v>
      </c>
      <c r="C5" s="4" t="s">
        <v>13</v>
      </c>
      <c r="D5" s="4" t="s">
        <v>14</v>
      </c>
      <c r="E5" s="5" t="s">
        <v>15</v>
      </c>
      <c r="F5" s="2">
        <v>8</v>
      </c>
      <c r="G5" s="2" t="s">
        <v>16</v>
      </c>
      <c r="H5" s="2" t="s">
        <v>17</v>
      </c>
      <c r="I5" s="3" t="s">
        <v>18</v>
      </c>
      <c r="J5" s="2" t="s">
        <v>19</v>
      </c>
    </row>
    <row r="6" spans="1:10" ht="22.8" x14ac:dyDescent="0.3">
      <c r="A6" s="2" t="s">
        <v>20</v>
      </c>
      <c r="B6" s="3" t="s">
        <v>12</v>
      </c>
      <c r="C6" s="4" t="s">
        <v>21</v>
      </c>
      <c r="D6" s="4" t="s">
        <v>22</v>
      </c>
      <c r="E6" s="5" t="s">
        <v>15</v>
      </c>
      <c r="F6" s="2">
        <v>5</v>
      </c>
      <c r="G6" s="2" t="s">
        <v>16</v>
      </c>
      <c r="H6" s="2" t="s">
        <v>17</v>
      </c>
      <c r="I6" s="3" t="s">
        <v>18</v>
      </c>
      <c r="J6" s="2" t="s">
        <v>19</v>
      </c>
    </row>
    <row r="7" spans="1:10" ht="22.8" x14ac:dyDescent="0.3">
      <c r="A7" s="2" t="s">
        <v>23</v>
      </c>
      <c r="B7" s="3" t="s">
        <v>12</v>
      </c>
      <c r="C7" s="4" t="s">
        <v>24</v>
      </c>
      <c r="D7" s="4" t="s">
        <v>25</v>
      </c>
      <c r="E7" s="5" t="s">
        <v>15</v>
      </c>
      <c r="F7" s="2">
        <v>5</v>
      </c>
      <c r="G7" s="2" t="s">
        <v>16</v>
      </c>
      <c r="H7" s="2" t="s">
        <v>26</v>
      </c>
      <c r="I7" s="3" t="s">
        <v>18</v>
      </c>
      <c r="J7" s="2" t="s">
        <v>19</v>
      </c>
    </row>
    <row r="8" spans="1:10" ht="22.8" x14ac:dyDescent="0.3">
      <c r="A8" s="2" t="s">
        <v>27</v>
      </c>
      <c r="B8" s="3" t="s">
        <v>12</v>
      </c>
      <c r="C8" s="4" t="s">
        <v>28</v>
      </c>
      <c r="D8" s="4"/>
      <c r="E8" s="6" t="s">
        <v>29</v>
      </c>
      <c r="F8" s="2">
        <v>3</v>
      </c>
      <c r="G8" s="2" t="s">
        <v>16</v>
      </c>
      <c r="H8" s="2" t="s">
        <v>26</v>
      </c>
      <c r="I8" s="3" t="s">
        <v>18</v>
      </c>
      <c r="J8" s="2" t="s">
        <v>19</v>
      </c>
    </row>
    <row r="9" spans="1:10" ht="22.8" x14ac:dyDescent="0.3">
      <c r="A9" s="2" t="s">
        <v>30</v>
      </c>
      <c r="B9" s="3" t="s">
        <v>31</v>
      </c>
      <c r="C9" s="4" t="s">
        <v>32</v>
      </c>
      <c r="D9" s="4" t="s">
        <v>33</v>
      </c>
      <c r="E9" s="5" t="s">
        <v>15</v>
      </c>
      <c r="F9" s="2">
        <v>5</v>
      </c>
      <c r="G9" s="2" t="s">
        <v>16</v>
      </c>
      <c r="H9" s="2" t="s">
        <v>26</v>
      </c>
      <c r="I9" s="3" t="s">
        <v>18</v>
      </c>
      <c r="J9" s="2" t="s">
        <v>19</v>
      </c>
    </row>
    <row r="10" spans="1:10" ht="22.8" x14ac:dyDescent="0.3">
      <c r="A10" s="2" t="s">
        <v>34</v>
      </c>
      <c r="B10" s="3" t="s">
        <v>31</v>
      </c>
      <c r="C10" s="4" t="s">
        <v>35</v>
      </c>
      <c r="D10" s="4" t="s">
        <v>36</v>
      </c>
      <c r="E10" s="5" t="s">
        <v>15</v>
      </c>
      <c r="F10" s="2">
        <v>3</v>
      </c>
      <c r="G10" s="2" t="s">
        <v>16</v>
      </c>
      <c r="H10" s="2" t="s">
        <v>26</v>
      </c>
      <c r="I10" s="3" t="s">
        <v>18</v>
      </c>
      <c r="J10" s="2" t="s">
        <v>19</v>
      </c>
    </row>
    <row r="11" spans="1:10" ht="22.8" x14ac:dyDescent="0.3">
      <c r="A11" s="2" t="s">
        <v>37</v>
      </c>
      <c r="B11" s="3" t="s">
        <v>38</v>
      </c>
      <c r="C11" s="4" t="s">
        <v>39</v>
      </c>
      <c r="D11" s="4" t="s">
        <v>40</v>
      </c>
      <c r="E11" s="5" t="s">
        <v>15</v>
      </c>
      <c r="F11" s="2">
        <v>8</v>
      </c>
      <c r="G11" s="2" t="s">
        <v>16</v>
      </c>
      <c r="H11" s="2" t="s">
        <v>41</v>
      </c>
      <c r="I11" s="3" t="s">
        <v>18</v>
      </c>
      <c r="J11" s="2" t="s">
        <v>19</v>
      </c>
    </row>
    <row r="12" spans="1:10" ht="22.8" x14ac:dyDescent="0.3">
      <c r="A12" s="2" t="s">
        <v>42</v>
      </c>
      <c r="B12" s="3" t="s">
        <v>38</v>
      </c>
      <c r="C12" s="4" t="s">
        <v>43</v>
      </c>
      <c r="D12" s="4" t="s">
        <v>44</v>
      </c>
      <c r="E12" s="5" t="s">
        <v>15</v>
      </c>
      <c r="F12" s="2">
        <v>5</v>
      </c>
      <c r="G12" s="2" t="s">
        <v>16</v>
      </c>
      <c r="H12" s="2" t="s">
        <v>41</v>
      </c>
      <c r="I12" s="3" t="s">
        <v>18</v>
      </c>
      <c r="J12" s="2" t="s">
        <v>45</v>
      </c>
    </row>
    <row r="13" spans="1:10" ht="22.8" x14ac:dyDescent="0.3">
      <c r="A13" s="2" t="s">
        <v>46</v>
      </c>
      <c r="B13" s="3" t="s">
        <v>47</v>
      </c>
      <c r="C13" s="4" t="s">
        <v>48</v>
      </c>
      <c r="D13" s="4" t="s">
        <v>49</v>
      </c>
      <c r="E13" s="5" t="s">
        <v>15</v>
      </c>
      <c r="F13" s="2">
        <v>5</v>
      </c>
      <c r="G13" s="2" t="s">
        <v>16</v>
      </c>
      <c r="H13" s="2" t="s">
        <v>50</v>
      </c>
      <c r="I13" s="3" t="s">
        <v>18</v>
      </c>
      <c r="J13" s="2" t="s">
        <v>19</v>
      </c>
    </row>
    <row r="14" spans="1:10" ht="22.8" x14ac:dyDescent="0.3">
      <c r="A14" s="2" t="s">
        <v>51</v>
      </c>
      <c r="B14" s="3" t="s">
        <v>47</v>
      </c>
      <c r="C14" s="4" t="s">
        <v>52</v>
      </c>
      <c r="D14" s="4" t="s">
        <v>53</v>
      </c>
      <c r="E14" s="5" t="s">
        <v>15</v>
      </c>
      <c r="F14" s="2">
        <v>3</v>
      </c>
      <c r="G14" s="2" t="s">
        <v>16</v>
      </c>
      <c r="H14" s="2" t="s">
        <v>50</v>
      </c>
      <c r="I14" s="3" t="s">
        <v>18</v>
      </c>
      <c r="J14" s="2" t="s">
        <v>19</v>
      </c>
    </row>
    <row r="15" spans="1:10" ht="22.8" x14ac:dyDescent="0.3">
      <c r="A15" s="2" t="s">
        <v>54</v>
      </c>
      <c r="B15" s="3" t="s">
        <v>55</v>
      </c>
      <c r="C15" s="4" t="s">
        <v>56</v>
      </c>
      <c r="D15" s="4" t="s">
        <v>57</v>
      </c>
      <c r="E15" s="5" t="s">
        <v>15</v>
      </c>
      <c r="F15" s="2">
        <v>5</v>
      </c>
      <c r="G15" s="2" t="s">
        <v>16</v>
      </c>
      <c r="H15" s="2" t="s">
        <v>50</v>
      </c>
      <c r="I15" s="3" t="s">
        <v>18</v>
      </c>
      <c r="J15" s="2" t="s">
        <v>19</v>
      </c>
    </row>
    <row r="16" spans="1:10" ht="22.8" x14ac:dyDescent="0.3">
      <c r="A16" s="2" t="s">
        <v>58</v>
      </c>
      <c r="B16" s="3" t="s">
        <v>55</v>
      </c>
      <c r="C16" s="4" t="s">
        <v>59</v>
      </c>
      <c r="D16" s="4"/>
      <c r="E16" s="7" t="s">
        <v>60</v>
      </c>
      <c r="F16" s="2">
        <v>5</v>
      </c>
      <c r="G16" s="2" t="s">
        <v>61</v>
      </c>
      <c r="H16" s="2" t="s">
        <v>62</v>
      </c>
      <c r="I16" s="3" t="s">
        <v>63</v>
      </c>
      <c r="J16" s="2" t="s">
        <v>19</v>
      </c>
    </row>
    <row r="17" spans="1:10" ht="22.8" x14ac:dyDescent="0.3">
      <c r="A17" s="2" t="s">
        <v>64</v>
      </c>
      <c r="B17" s="3" t="s">
        <v>65</v>
      </c>
      <c r="C17" s="4" t="s">
        <v>66</v>
      </c>
      <c r="D17" s="4"/>
      <c r="E17" s="6" t="s">
        <v>29</v>
      </c>
      <c r="F17" s="2">
        <v>5</v>
      </c>
      <c r="G17" s="2" t="s">
        <v>61</v>
      </c>
      <c r="H17" s="2" t="s">
        <v>67</v>
      </c>
      <c r="I17" s="3" t="s">
        <v>63</v>
      </c>
      <c r="J17" s="2" t="s">
        <v>68</v>
      </c>
    </row>
    <row r="18" spans="1:10" ht="22.8" x14ac:dyDescent="0.3">
      <c r="A18" s="2" t="s">
        <v>69</v>
      </c>
      <c r="B18" s="3" t="s">
        <v>65</v>
      </c>
      <c r="C18" s="4" t="s">
        <v>70</v>
      </c>
      <c r="D18" s="4"/>
      <c r="E18" s="6" t="s">
        <v>29</v>
      </c>
      <c r="F18" s="2">
        <v>3</v>
      </c>
      <c r="G18" s="2" t="s">
        <v>61</v>
      </c>
      <c r="H18" s="2" t="s">
        <v>67</v>
      </c>
      <c r="I18" s="3" t="s">
        <v>63</v>
      </c>
      <c r="J18" s="2" t="s">
        <v>68</v>
      </c>
    </row>
    <row r="19" spans="1:10" ht="22.8" x14ac:dyDescent="0.3">
      <c r="A19" s="2" t="s">
        <v>71</v>
      </c>
      <c r="B19" s="3" t="s">
        <v>65</v>
      </c>
      <c r="C19" s="4" t="s">
        <v>72</v>
      </c>
      <c r="D19" s="4"/>
      <c r="E19" s="7" t="s">
        <v>60</v>
      </c>
      <c r="F19" s="2">
        <v>3</v>
      </c>
      <c r="G19" s="2" t="s">
        <v>61</v>
      </c>
      <c r="H19" s="2" t="s">
        <v>73</v>
      </c>
      <c r="I19" s="3" t="s">
        <v>63</v>
      </c>
      <c r="J19" s="2" t="s">
        <v>68</v>
      </c>
    </row>
    <row r="20" spans="1:10" ht="22.8" x14ac:dyDescent="0.3">
      <c r="A20" s="2" t="s">
        <v>74</v>
      </c>
      <c r="B20" s="3" t="s">
        <v>65</v>
      </c>
      <c r="C20" s="4" t="s">
        <v>75</v>
      </c>
      <c r="D20" s="4"/>
      <c r="E20" s="7" t="s">
        <v>60</v>
      </c>
      <c r="F20" s="2">
        <v>5</v>
      </c>
      <c r="G20" s="2" t="s">
        <v>61</v>
      </c>
      <c r="H20" s="2" t="s">
        <v>73</v>
      </c>
      <c r="I20" s="3" t="s">
        <v>63</v>
      </c>
      <c r="J20" s="2" t="s">
        <v>68</v>
      </c>
    </row>
    <row r="21" spans="1:10" ht="22.8" x14ac:dyDescent="0.3">
      <c r="A21" s="2" t="s">
        <v>76</v>
      </c>
      <c r="B21" s="3" t="s">
        <v>77</v>
      </c>
      <c r="C21" s="4" t="s">
        <v>78</v>
      </c>
      <c r="D21" s="4" t="s">
        <v>79</v>
      </c>
      <c r="E21" s="5" t="s">
        <v>15</v>
      </c>
      <c r="F21" s="2">
        <v>8</v>
      </c>
      <c r="G21" s="2" t="s">
        <v>16</v>
      </c>
      <c r="H21" s="2" t="s">
        <v>80</v>
      </c>
      <c r="I21" s="3" t="s">
        <v>18</v>
      </c>
      <c r="J21" s="2" t="s">
        <v>81</v>
      </c>
    </row>
    <row r="22" spans="1:10" ht="22.8" x14ac:dyDescent="0.3">
      <c r="A22" s="2" t="s">
        <v>82</v>
      </c>
      <c r="B22" s="3" t="s">
        <v>77</v>
      </c>
      <c r="C22" s="4" t="s">
        <v>83</v>
      </c>
      <c r="D22" s="4" t="s">
        <v>84</v>
      </c>
      <c r="E22" s="5" t="s">
        <v>15</v>
      </c>
      <c r="F22" s="2">
        <v>5</v>
      </c>
      <c r="G22" s="2" t="s">
        <v>16</v>
      </c>
      <c r="H22" s="2" t="s">
        <v>80</v>
      </c>
      <c r="I22" s="3" t="s">
        <v>18</v>
      </c>
      <c r="J22" s="2" t="s">
        <v>85</v>
      </c>
    </row>
    <row r="23" spans="1:10" ht="22.8" x14ac:dyDescent="0.3">
      <c r="A23" s="2" t="s">
        <v>86</v>
      </c>
      <c r="B23" s="3" t="s">
        <v>77</v>
      </c>
      <c r="C23" s="4" t="s">
        <v>87</v>
      </c>
      <c r="D23" s="4" t="s">
        <v>88</v>
      </c>
      <c r="E23" s="5" t="s">
        <v>15</v>
      </c>
      <c r="F23" s="2">
        <v>3</v>
      </c>
      <c r="G23" s="2" t="s">
        <v>16</v>
      </c>
      <c r="H23" s="2" t="s">
        <v>80</v>
      </c>
      <c r="I23" s="3" t="s">
        <v>18</v>
      </c>
      <c r="J23" s="2" t="s">
        <v>85</v>
      </c>
    </row>
    <row r="24" spans="1:10" ht="22.8" x14ac:dyDescent="0.3">
      <c r="A24" s="2" t="s">
        <v>89</v>
      </c>
      <c r="B24" s="3" t="s">
        <v>77</v>
      </c>
      <c r="C24" s="4" t="s">
        <v>90</v>
      </c>
      <c r="D24" s="4"/>
      <c r="E24" s="6" t="s">
        <v>29</v>
      </c>
      <c r="F24" s="2">
        <v>5</v>
      </c>
      <c r="G24" s="2" t="s">
        <v>61</v>
      </c>
      <c r="H24" s="2" t="s">
        <v>62</v>
      </c>
      <c r="I24" s="3" t="s">
        <v>63</v>
      </c>
      <c r="J24" s="2" t="s">
        <v>85</v>
      </c>
    </row>
    <row r="25" spans="1:10" ht="22.8" x14ac:dyDescent="0.3">
      <c r="A25" s="2" t="s">
        <v>91</v>
      </c>
      <c r="B25" s="3" t="s">
        <v>92</v>
      </c>
      <c r="C25" s="4" t="s">
        <v>93</v>
      </c>
      <c r="D25" s="4" t="s">
        <v>94</v>
      </c>
      <c r="E25" s="5" t="s">
        <v>15</v>
      </c>
      <c r="F25" s="2">
        <v>13</v>
      </c>
      <c r="G25" s="2" t="s">
        <v>61</v>
      </c>
      <c r="H25" s="2" t="s">
        <v>62</v>
      </c>
      <c r="I25" s="3" t="s">
        <v>63</v>
      </c>
      <c r="J25" s="2" t="s">
        <v>95</v>
      </c>
    </row>
    <row r="26" spans="1:10" ht="22.8" x14ac:dyDescent="0.3">
      <c r="A26" s="2" t="s">
        <v>96</v>
      </c>
      <c r="B26" s="3" t="s">
        <v>92</v>
      </c>
      <c r="C26" s="4" t="s">
        <v>97</v>
      </c>
      <c r="D26" s="4"/>
      <c r="E26" s="6" t="s">
        <v>29</v>
      </c>
      <c r="F26" s="2">
        <v>8</v>
      </c>
      <c r="G26" s="2" t="s">
        <v>61</v>
      </c>
      <c r="H26" s="2" t="s">
        <v>67</v>
      </c>
      <c r="I26" s="3" t="s">
        <v>63</v>
      </c>
      <c r="J26" s="2" t="s">
        <v>95</v>
      </c>
    </row>
    <row r="27" spans="1:10" ht="22.8" x14ac:dyDescent="0.3">
      <c r="A27" s="2" t="s">
        <v>98</v>
      </c>
      <c r="B27" s="3" t="s">
        <v>92</v>
      </c>
      <c r="C27" s="4" t="s">
        <v>99</v>
      </c>
      <c r="D27" s="4"/>
      <c r="E27" s="7" t="s">
        <v>60</v>
      </c>
      <c r="F27" s="2">
        <v>5</v>
      </c>
      <c r="G27" s="2" t="s">
        <v>61</v>
      </c>
      <c r="H27" s="2" t="s">
        <v>67</v>
      </c>
      <c r="I27" s="3" t="s">
        <v>63</v>
      </c>
      <c r="J27" s="2" t="s">
        <v>95</v>
      </c>
    </row>
    <row r="28" spans="1:10" ht="22.8" x14ac:dyDescent="0.3">
      <c r="A28" s="2" t="s">
        <v>100</v>
      </c>
      <c r="B28" s="3" t="s">
        <v>92</v>
      </c>
      <c r="C28" s="4" t="s">
        <v>101</v>
      </c>
      <c r="D28" s="4" t="s">
        <v>102</v>
      </c>
      <c r="E28" s="5" t="s">
        <v>15</v>
      </c>
      <c r="F28" s="2">
        <v>8</v>
      </c>
      <c r="G28" s="2" t="s">
        <v>61</v>
      </c>
      <c r="H28" s="2" t="s">
        <v>62</v>
      </c>
      <c r="I28" s="3" t="s">
        <v>63</v>
      </c>
      <c r="J28" s="2" t="s">
        <v>95</v>
      </c>
    </row>
    <row r="29" spans="1:10" ht="22.8" x14ac:dyDescent="0.3">
      <c r="A29" s="2" t="s">
        <v>103</v>
      </c>
      <c r="B29" s="3" t="s">
        <v>92</v>
      </c>
      <c r="C29" s="4" t="s">
        <v>104</v>
      </c>
      <c r="D29" s="4" t="s">
        <v>105</v>
      </c>
      <c r="E29" s="5" t="s">
        <v>15</v>
      </c>
      <c r="F29" s="2">
        <v>5</v>
      </c>
      <c r="G29" s="2" t="s">
        <v>61</v>
      </c>
      <c r="H29" s="2" t="s">
        <v>62</v>
      </c>
      <c r="I29" s="3" t="s">
        <v>63</v>
      </c>
      <c r="J29" s="2" t="s">
        <v>95</v>
      </c>
    </row>
    <row r="30" spans="1:10" ht="22.8" x14ac:dyDescent="0.3">
      <c r="A30" s="2" t="s">
        <v>106</v>
      </c>
      <c r="B30" s="3" t="s">
        <v>92</v>
      </c>
      <c r="C30" s="4" t="s">
        <v>107</v>
      </c>
      <c r="D30" s="4"/>
      <c r="E30" s="6" t="s">
        <v>29</v>
      </c>
      <c r="F30" s="2">
        <v>5</v>
      </c>
      <c r="G30" s="2" t="s">
        <v>61</v>
      </c>
      <c r="H30" s="2" t="s">
        <v>67</v>
      </c>
      <c r="I30" s="3" t="s">
        <v>63</v>
      </c>
      <c r="J30" s="2" t="s">
        <v>95</v>
      </c>
    </row>
    <row r="31" spans="1:10" ht="22.8" x14ac:dyDescent="0.3">
      <c r="A31" s="2" t="s">
        <v>108</v>
      </c>
      <c r="B31" s="3" t="s">
        <v>92</v>
      </c>
      <c r="C31" s="4" t="s">
        <v>109</v>
      </c>
      <c r="D31" s="4" t="s">
        <v>110</v>
      </c>
      <c r="E31" s="5" t="s">
        <v>15</v>
      </c>
      <c r="F31" s="2">
        <v>8</v>
      </c>
      <c r="G31" s="2" t="s">
        <v>61</v>
      </c>
      <c r="H31" s="2" t="s">
        <v>62</v>
      </c>
      <c r="I31" s="3" t="s">
        <v>63</v>
      </c>
      <c r="J31" s="2" t="s">
        <v>95</v>
      </c>
    </row>
    <row r="32" spans="1:10" ht="22.8" x14ac:dyDescent="0.3">
      <c r="A32" s="2" t="s">
        <v>111</v>
      </c>
      <c r="B32" s="3" t="s">
        <v>92</v>
      </c>
      <c r="C32" s="4" t="s">
        <v>112</v>
      </c>
      <c r="D32" s="4"/>
      <c r="E32" s="6" t="s">
        <v>29</v>
      </c>
      <c r="F32" s="2">
        <v>3</v>
      </c>
      <c r="G32" s="2" t="s">
        <v>61</v>
      </c>
      <c r="H32" s="2" t="s">
        <v>67</v>
      </c>
      <c r="I32" s="3" t="s">
        <v>63</v>
      </c>
      <c r="J32" s="2" t="s">
        <v>95</v>
      </c>
    </row>
    <row r="33" spans="1:10" ht="22.8" x14ac:dyDescent="0.3">
      <c r="A33" s="2" t="s">
        <v>113</v>
      </c>
      <c r="B33" s="3" t="s">
        <v>92</v>
      </c>
      <c r="C33" s="4" t="s">
        <v>114</v>
      </c>
      <c r="D33" s="4"/>
      <c r="E33" s="6" t="s">
        <v>29</v>
      </c>
      <c r="F33" s="2">
        <v>5</v>
      </c>
      <c r="G33" s="2" t="s">
        <v>61</v>
      </c>
      <c r="H33" s="2" t="s">
        <v>67</v>
      </c>
      <c r="I33" s="3" t="s">
        <v>63</v>
      </c>
      <c r="J33" s="2" t="s">
        <v>95</v>
      </c>
    </row>
    <row r="34" spans="1:10" ht="22.8" x14ac:dyDescent="0.3">
      <c r="A34" s="2" t="s">
        <v>115</v>
      </c>
      <c r="B34" s="3" t="s">
        <v>116</v>
      </c>
      <c r="C34" s="4" t="s">
        <v>117</v>
      </c>
      <c r="D34" s="4"/>
      <c r="E34" s="8" t="s">
        <v>118</v>
      </c>
      <c r="F34" s="2">
        <v>0</v>
      </c>
      <c r="G34" s="2" t="s">
        <v>119</v>
      </c>
      <c r="H34" s="2" t="s">
        <v>119</v>
      </c>
      <c r="I34" s="3" t="s">
        <v>120</v>
      </c>
      <c r="J34" s="2" t="s">
        <v>68</v>
      </c>
    </row>
    <row r="35" spans="1:10" ht="22.8" x14ac:dyDescent="0.3">
      <c r="A35" s="2" t="s">
        <v>121</v>
      </c>
      <c r="B35" s="3" t="s">
        <v>116</v>
      </c>
      <c r="C35" s="4" t="s">
        <v>122</v>
      </c>
      <c r="D35" s="4"/>
      <c r="E35" s="8" t="s">
        <v>118</v>
      </c>
      <c r="F35" s="2">
        <v>0</v>
      </c>
      <c r="G35" s="2" t="s">
        <v>119</v>
      </c>
      <c r="H35" s="2" t="s">
        <v>119</v>
      </c>
      <c r="I35" s="3" t="s">
        <v>120</v>
      </c>
      <c r="J35" s="2" t="s">
        <v>68</v>
      </c>
    </row>
    <row r="36" spans="1:10" ht="22.8" x14ac:dyDescent="0.3">
      <c r="A36" s="2" t="s">
        <v>123</v>
      </c>
      <c r="B36" s="3" t="s">
        <v>116</v>
      </c>
      <c r="C36" s="4" t="s">
        <v>124</v>
      </c>
      <c r="D36" s="4"/>
      <c r="E36" s="8" t="s">
        <v>118</v>
      </c>
      <c r="F36" s="2">
        <v>0</v>
      </c>
      <c r="G36" s="2" t="s">
        <v>119</v>
      </c>
      <c r="H36" s="2" t="s">
        <v>119</v>
      </c>
      <c r="I36" s="3" t="s">
        <v>120</v>
      </c>
      <c r="J36" s="2" t="s">
        <v>95</v>
      </c>
    </row>
    <row r="37" spans="1:10" x14ac:dyDescent="0.3">
      <c r="B37" s="26" t="s">
        <v>125</v>
      </c>
      <c r="C37" s="24"/>
      <c r="D37" s="24"/>
      <c r="E37" s="24"/>
      <c r="F37" s="9">
        <f>SUM(F5:F36)</f>
        <v>157</v>
      </c>
    </row>
  </sheetData>
  <mergeCells count="3">
    <mergeCell ref="A1:J1"/>
    <mergeCell ref="B37:E3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>
      <selection activeCell="D6" sqref="D6"/>
    </sheetView>
  </sheetViews>
  <sheetFormatPr baseColWidth="10" defaultColWidth="8.88671875" defaultRowHeight="14.4" x14ac:dyDescent="0.3"/>
  <cols>
    <col min="1" max="1" width="12" customWidth="1"/>
    <col min="2" max="2" width="8" customWidth="1"/>
    <col min="3" max="3" width="10" customWidth="1"/>
    <col min="4" max="4" width="48" customWidth="1"/>
  </cols>
  <sheetData>
    <row r="1" spans="1:4" ht="24" customHeight="1" x14ac:dyDescent="0.3">
      <c r="A1" s="28" t="s">
        <v>126</v>
      </c>
      <c r="B1" s="24"/>
      <c r="C1" s="24"/>
      <c r="D1" s="24"/>
    </row>
    <row r="3" spans="1:4" x14ac:dyDescent="0.3">
      <c r="A3" s="10" t="s">
        <v>127</v>
      </c>
      <c r="B3" s="10" t="s">
        <v>128</v>
      </c>
      <c r="C3" s="10" t="s">
        <v>129</v>
      </c>
      <c r="D3" s="10" t="s">
        <v>130</v>
      </c>
    </row>
    <row r="4" spans="1:4" x14ac:dyDescent="0.3">
      <c r="A4" s="11" t="s">
        <v>15</v>
      </c>
      <c r="B4" s="12">
        <f>COUNTIF('Product Backlog'!E:E,"MUST")</f>
        <v>17</v>
      </c>
      <c r="C4" s="12">
        <f>SUMIF('Product Backlog'!E:E,"MUST",'Product Backlog'!F:F)</f>
        <v>102</v>
      </c>
      <c r="D4" s="13" t="s">
        <v>131</v>
      </c>
    </row>
    <row r="5" spans="1:4" x14ac:dyDescent="0.3">
      <c r="A5" s="14" t="s">
        <v>29</v>
      </c>
      <c r="B5" s="12">
        <f>COUNTIF('Product Backlog'!E:E,"SHOULD")</f>
        <v>8</v>
      </c>
      <c r="C5" s="12">
        <f>SUMIF('Product Backlog'!E:E,"SHOULD",'Product Backlog'!F:F)</f>
        <v>37</v>
      </c>
      <c r="D5" s="13" t="s">
        <v>132</v>
      </c>
    </row>
    <row r="6" spans="1:4" x14ac:dyDescent="0.3">
      <c r="A6" s="15" t="s">
        <v>60</v>
      </c>
      <c r="B6" s="12">
        <f>COUNTIF('Product Backlog'!E:E,"COULD")</f>
        <v>4</v>
      </c>
      <c r="C6" s="12">
        <f>SUMIF('Product Backlog'!E:E,"COULD",'Product Backlog'!F:F)</f>
        <v>18</v>
      </c>
      <c r="D6" s="13" t="s">
        <v>133</v>
      </c>
    </row>
    <row r="7" spans="1:4" x14ac:dyDescent="0.3">
      <c r="A7" s="16" t="s">
        <v>118</v>
      </c>
      <c r="B7" s="12">
        <f>COUNTIF('Product Backlog'!E:E,"WON'T")</f>
        <v>3</v>
      </c>
      <c r="C7" s="12">
        <f>SUMIF('Product Backlog'!E:E,"WON'T",'Product Backlog'!F:F)</f>
        <v>0</v>
      </c>
      <c r="D7" s="13" t="s">
        <v>134</v>
      </c>
    </row>
    <row r="8" spans="1:4" x14ac:dyDescent="0.3">
      <c r="A8" s="17" t="s">
        <v>135</v>
      </c>
      <c r="B8" s="17">
        <f>SUM(B4:B7)</f>
        <v>32</v>
      </c>
      <c r="C8" s="17">
        <f>SUM(C4:C7)</f>
        <v>157</v>
      </c>
      <c r="D8" s="18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>
      <selection activeCell="B10" sqref="B10:F16"/>
    </sheetView>
  </sheetViews>
  <sheetFormatPr baseColWidth="10" defaultColWidth="8.88671875" defaultRowHeight="14.4" x14ac:dyDescent="0.3"/>
  <cols>
    <col min="1" max="2" width="60" customWidth="1"/>
  </cols>
  <sheetData>
    <row r="1" spans="1:2" ht="24" customHeight="1" x14ac:dyDescent="0.3">
      <c r="A1" s="23" t="s">
        <v>136</v>
      </c>
      <c r="B1" s="24"/>
    </row>
    <row r="3" spans="1:2" x14ac:dyDescent="0.3">
      <c r="A3" s="19" t="s">
        <v>137</v>
      </c>
      <c r="B3" s="19" t="s">
        <v>138</v>
      </c>
    </row>
    <row r="4" spans="1:2" ht="26.4" x14ac:dyDescent="0.3">
      <c r="A4" s="20" t="s">
        <v>139</v>
      </c>
      <c r="B4" s="20" t="s">
        <v>140</v>
      </c>
    </row>
    <row r="5" spans="1:2" x14ac:dyDescent="0.3">
      <c r="A5" s="20" t="s">
        <v>141</v>
      </c>
      <c r="B5" s="20" t="s">
        <v>142</v>
      </c>
    </row>
    <row r="6" spans="1:2" x14ac:dyDescent="0.3">
      <c r="A6" s="20" t="s">
        <v>143</v>
      </c>
      <c r="B6" s="20" t="s">
        <v>144</v>
      </c>
    </row>
    <row r="7" spans="1:2" x14ac:dyDescent="0.3">
      <c r="A7" s="20" t="s">
        <v>145</v>
      </c>
      <c r="B7" s="20" t="s">
        <v>146</v>
      </c>
    </row>
    <row r="8" spans="1:2" x14ac:dyDescent="0.3">
      <c r="A8" s="20" t="s">
        <v>147</v>
      </c>
      <c r="B8" s="20" t="s">
        <v>148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workbookViewId="0">
      <selection sqref="A1:C1"/>
    </sheetView>
  </sheetViews>
  <sheetFormatPr baseColWidth="10" defaultColWidth="8.88671875" defaultRowHeight="14.4" x14ac:dyDescent="0.3"/>
  <cols>
    <col min="1" max="1" width="9" customWidth="1"/>
    <col min="2" max="2" width="28.33203125" customWidth="1"/>
    <col min="3" max="3" width="80" customWidth="1"/>
  </cols>
  <sheetData>
    <row r="1" spans="1:3" ht="24" customHeight="1" x14ac:dyDescent="0.3">
      <c r="A1" s="23" t="s">
        <v>149</v>
      </c>
      <c r="B1" s="24"/>
      <c r="C1" s="24"/>
    </row>
    <row r="3" spans="1:3" x14ac:dyDescent="0.3">
      <c r="A3" s="10" t="s">
        <v>150</v>
      </c>
      <c r="B3" s="10" t="s">
        <v>151</v>
      </c>
      <c r="C3" s="10" t="s">
        <v>152</v>
      </c>
    </row>
    <row r="4" spans="1:3" ht="26.4" x14ac:dyDescent="0.3">
      <c r="A4" s="21" t="s">
        <v>19</v>
      </c>
      <c r="B4" s="21" t="s">
        <v>153</v>
      </c>
      <c r="C4" s="22" t="s">
        <v>154</v>
      </c>
    </row>
    <row r="5" spans="1:3" ht="26.4" x14ac:dyDescent="0.3">
      <c r="A5" s="21" t="s">
        <v>68</v>
      </c>
      <c r="B5" s="21" t="s">
        <v>155</v>
      </c>
      <c r="C5" s="22" t="s">
        <v>156</v>
      </c>
    </row>
    <row r="6" spans="1:3" x14ac:dyDescent="0.3">
      <c r="A6" s="21" t="s">
        <v>45</v>
      </c>
      <c r="B6" s="21" t="s">
        <v>157</v>
      </c>
      <c r="C6" s="22" t="s">
        <v>158</v>
      </c>
    </row>
    <row r="7" spans="1:3" x14ac:dyDescent="0.3">
      <c r="A7" s="21" t="s">
        <v>81</v>
      </c>
      <c r="B7" s="21" t="s">
        <v>159</v>
      </c>
      <c r="C7" s="22" t="s">
        <v>160</v>
      </c>
    </row>
    <row r="8" spans="1:3" x14ac:dyDescent="0.3">
      <c r="A8" s="21" t="s">
        <v>85</v>
      </c>
      <c r="B8" s="21" t="s">
        <v>161</v>
      </c>
      <c r="C8" s="22" t="s">
        <v>162</v>
      </c>
    </row>
    <row r="9" spans="1:3" ht="26.4" x14ac:dyDescent="0.3">
      <c r="A9" s="21" t="s">
        <v>95</v>
      </c>
      <c r="B9" s="21" t="s">
        <v>163</v>
      </c>
      <c r="C9" s="22" t="s">
        <v>164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Product Backlog</vt:lpstr>
      <vt:lpstr>Synthèse</vt:lpstr>
      <vt:lpstr>DoR-DoD</vt:lpstr>
      <vt:lpstr>Historique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compta flinlo</cp:lastModifiedBy>
  <dcterms:created xsi:type="dcterms:W3CDTF">2026-07-02T09:01:25Z</dcterms:created>
  <dcterms:modified xsi:type="dcterms:W3CDTF">2026-07-02T09:43:26Z</dcterms:modified>
</cp:coreProperties>
</file>