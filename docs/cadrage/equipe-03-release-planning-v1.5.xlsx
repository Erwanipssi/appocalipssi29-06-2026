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zag\Desktop\claude brain\apocalipssi\sources-brutes\"/>
    </mc:Choice>
  </mc:AlternateContent>
  <xr:revisionPtr revIDLastSave="0" documentId="13_ncr:1_{993F4BD2-4379-491F-9907-3067A60660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ease Planning" sheetId="1" r:id="rId1"/>
    <sheet name="Burnup" sheetId="2" r:id="rId2"/>
    <sheet name="Historiqu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D13" i="1"/>
  <c r="C13" i="1"/>
</calcChain>
</file>

<file path=xl/sharedStrings.xml><?xml version="1.0" encoding="utf-8"?>
<sst xmlns="http://schemas.openxmlformats.org/spreadsheetml/2006/main" count="106" uniqueCount="92">
  <si>
    <t>Sprint</t>
  </si>
  <si>
    <t>Demi-journée · Date</t>
  </si>
  <si>
    <t>Capacité (h-pers)</t>
  </si>
  <si>
    <t>Vélocité cible (SP)</t>
  </si>
  <si>
    <t>Objectif du sprint</t>
  </si>
  <si>
    <t>US principales</t>
  </si>
  <si>
    <t>Release</t>
  </si>
  <si>
    <t>Perturbation</t>
  </si>
  <si>
    <t>S1</t>
  </si>
  <si>
    <t>Lun 29/06 · PM</t>
  </si>
  <si>
    <t>Socle authentification</t>
  </si>
  <si>
    <t>US-01, US-02</t>
  </si>
  <si>
    <t>R1</t>
  </si>
  <si>
    <t>—</t>
  </si>
  <si>
    <t>S2</t>
  </si>
  <si>
    <t>Mar 30/06 · AM</t>
  </si>
  <si>
    <t>Auth (reset/profil) + Saisie cours</t>
  </si>
  <si>
    <t>US-03, US-04, US-05, US-06</t>
  </si>
  <si>
    <t>J2 déverrouillée</t>
  </si>
  <si>
    <t>S3</t>
  </si>
  <si>
    <t>Mar 30/06 · PM</t>
  </si>
  <si>
    <t>Génération quiz + décision moteur LLM</t>
  </si>
  <si>
    <t>US-07, US-08</t>
  </si>
  <si>
    <t>J2 — benchmark + ADR</t>
  </si>
  <si>
    <t>S4</t>
  </si>
  <si>
    <t>Mer 01/07 · AM</t>
  </si>
  <si>
    <t>Correction, score &amp; historique</t>
  </si>
  <si>
    <t>US-09, US-10, US-11</t>
  </si>
  <si>
    <t>J3 déverrouillée</t>
  </si>
  <si>
    <t>S5</t>
  </si>
  <si>
    <t>Mer 01/07 · PM</t>
  </si>
  <si>
    <t>Sécurité + RGPD → livraison MVP</t>
  </si>
  <si>
    <t>US-17, US-18, US-19</t>
  </si>
  <si>
    <t>R1 · tag v1.0.0-mvp</t>
  </si>
  <si>
    <t>J3 + J4 (sécu + RGPD)</t>
  </si>
  <si>
    <t>S6</t>
  </si>
  <si>
    <t>Jeu 02/07 · AM</t>
  </si>
  <si>
    <t>Passage à l'échelle (scale · a11y · i18n)</t>
  </si>
  <si>
    <t>US-21, US-24, US-25, US-27</t>
  </si>
  <si>
    <t>R2</t>
  </si>
  <si>
    <t>J5 déverrouillée</t>
  </si>
  <si>
    <t>S7</t>
  </si>
  <si>
    <t>Jeu 02/07 · PM</t>
  </si>
  <si>
    <t>Enseignant + a11y/i18n → Release 2</t>
  </si>
  <si>
    <t>US-13, US-14, US-22, US-26, US-28, US-29</t>
  </si>
  <si>
    <t>R2 · tag v1.1.0</t>
  </si>
  <si>
    <t>J5 — pilotage</t>
  </si>
  <si>
    <t>S8</t>
  </si>
  <si>
    <t>Ven 03/07</t>
  </si>
  <si>
    <t>Soutenance (25 min démo + 15 Q/R)</t>
  </si>
  <si>
    <t>Démo reproductible + Q/R</t>
  </si>
  <si>
    <t>TOTAL</t>
  </si>
  <si>
    <t>BURNUP — projet EduTutor IA (impact des perturbations sur le périmètre)</t>
  </si>
  <si>
    <t>Ligne « Périmètre » = total à construire (monte quand une perturbation ajoute du scope). Ligne « Réalisé » = SP cumulés livrés.</t>
  </si>
  <si>
    <t>Périmètre (SP)</t>
  </si>
  <si>
    <t>Réalisé (SP)</t>
  </si>
  <si>
    <t>Événement</t>
  </si>
  <si>
    <t>Départ</t>
  </si>
  <si>
    <t>Cadrage initial (J1) : F1-F6 + Release 2 planifiée</t>
  </si>
  <si>
    <t>+16 · perturbation J1 (persona enseignante primaire)</t>
  </si>
  <si>
    <t>+5 · perturbation J2 (moteur LLM / ADR)</t>
  </si>
  <si>
    <t>+21 · J3 + J4 (sécurité + RGPD) — MVP R1 livré</t>
  </si>
  <si>
    <t>+60 · perturbation J5 (scale + a11y + i18n)</t>
  </si>
  <si>
    <t>Release 2 (v1.1.0)</t>
  </si>
  <si>
    <t>Soutenance</t>
  </si>
  <si>
    <t>Reste à faire (fin) =</t>
  </si>
  <si>
    <t>Lecture :</t>
  </si>
  <si>
    <t>Les perturbations ont ajouté ~102 SP (100→202). Sans elles, fin ~S6 ; avec, la trajectoire déborde → arbitrage Release 2 / soutenance.</t>
  </si>
  <si>
    <t>Historique des versions — Release Planning</t>
  </si>
  <si>
    <t>Version</t>
  </si>
  <si>
    <t>Jour / Date</t>
  </si>
  <si>
    <t>Évolution</t>
  </si>
  <si>
    <t>v1.0</t>
  </si>
  <si>
    <t>Cadrage — 29/06</t>
  </si>
  <si>
    <t>Plan initial 8 demi-sprints, 2 releases (R1 mer 17h45, R2 jeu 17h45), burnup de départ (100 SP).</t>
  </si>
  <si>
    <t>v1.1</t>
  </si>
  <si>
    <t>J1 — 29/06 (Produit)</t>
  </si>
  <si>
    <t>+16 SP stories enseignante (S6/S7) ; burnup +16.</t>
  </si>
  <si>
    <t>v1.2</t>
  </si>
  <si>
    <t>J2 — 30/06 (Technique)</t>
  </si>
  <si>
    <t>S3 : décision moteur LLM (ADR) ; burnup +5.</t>
  </si>
  <si>
    <t>v1.3</t>
  </si>
  <si>
    <t>J3 — 01/07 (Sécurité)</t>
  </si>
  <si>
    <t>S5 : prompt injection ; MVP R1 confirmé S5.</t>
  </si>
  <si>
    <t>v1.4</t>
  </si>
  <si>
    <t>J4 — 01/07 (RGPD)</t>
  </si>
  <si>
    <t>S5 : SAR + pages légales ; burnup +21 (cumul sécu+RGPD).</t>
  </si>
  <si>
    <t>v1.5</t>
  </si>
  <si>
    <t>J5 — 02/07 (Échelle)</t>
  </si>
  <si>
    <t>S6/S7 : scale + a11y + i18n ; burnup +60 (100→202) → impact visible sur la date de fin.</t>
  </si>
  <si>
    <t>APOCAL'IPSSI 2026 · EduTutor IA RELEASE PLANNING</t>
  </si>
  <si>
    <t>Équipe 3 — Dillon AZAG, Youcef OULD KACI, Erwan MARCHAND, Steven JANSENS, Rayan Degane WAFO MBE, Nassim DEFLANDRE  |  8 demi-sprints · vélocité cible · 2 releases · 5 perturbations  |  v1.5 (J5, 02/07/2026)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</si>
</sst>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8"/>
      <color rgb="FF475569"/>
      <name val="Arial"/>
    </font>
    <font>
      <b/>
      <sz val="9"/>
      <color rgb="FFFFFFFF"/>
      <name val="Arial"/>
    </font>
    <font>
      <sz val="9"/>
      <color rgb="FF0F172A"/>
      <name val="Arial"/>
    </font>
    <font>
      <b/>
      <sz val="11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9"/>
      <name val="Arial"/>
    </font>
    <font>
      <b/>
      <sz val="11"/>
      <color rgb="FFB91C1C"/>
      <name val="Arial"/>
    </font>
    <font>
      <i/>
      <sz val="9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2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5" fillId="0" borderId="0" xfId="0" applyFont="1"/>
    <xf numFmtId="0" fontId="9" fillId="0" borderId="0" xfId="0" applyFont="1"/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center" indent="1"/>
    </xf>
    <xf numFmtId="0" fontId="0" fillId="0" borderId="0" xfId="0"/>
    <xf numFmtId="0" fontId="1" fillId="2" borderId="0" xfId="0" applyFont="1" applyFill="1" applyAlignment="1">
      <alignment vertical="center" indent="1"/>
    </xf>
    <xf numFmtId="0" fontId="6" fillId="2" borderId="0" xfId="0" applyFont="1" applyFill="1" applyAlignment="1">
      <alignment vertical="center" inden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Burnup — Périmètre vs Réalisé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Burnup!$B$4</c:f>
              <c:strCache>
                <c:ptCount val="1"/>
                <c:pt idx="0">
                  <c:v>Périmètre (SP)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Burnup!$A$5:$A$13</c:f>
              <c:strCache>
                <c:ptCount val="9"/>
                <c:pt idx="0">
                  <c:v>Départ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  <c:pt idx="6">
                  <c:v>S6</c:v>
                </c:pt>
                <c:pt idx="7">
                  <c:v>S7</c:v>
                </c:pt>
                <c:pt idx="8">
                  <c:v>S8</c:v>
                </c:pt>
              </c:strCache>
            </c:strRef>
          </c:cat>
          <c:val>
            <c:numRef>
              <c:f>Burnup!$B$5:$B$13</c:f>
              <c:numCache>
                <c:formatCode>General</c:formatCode>
                <c:ptCount val="9"/>
                <c:pt idx="0">
                  <c:v>100</c:v>
                </c:pt>
                <c:pt idx="1">
                  <c:v>116</c:v>
                </c:pt>
                <c:pt idx="2">
                  <c:v>116</c:v>
                </c:pt>
                <c:pt idx="3">
                  <c:v>121</c:v>
                </c:pt>
                <c:pt idx="4">
                  <c:v>121</c:v>
                </c:pt>
                <c:pt idx="5">
                  <c:v>142</c:v>
                </c:pt>
                <c:pt idx="6">
                  <c:v>202</c:v>
                </c:pt>
                <c:pt idx="7">
                  <c:v>202</c:v>
                </c:pt>
                <c:pt idx="8">
                  <c:v>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5B-4822-A8DB-F869EB6220D2}"/>
            </c:ext>
          </c:extLst>
        </c:ser>
        <c:ser>
          <c:idx val="1"/>
          <c:order val="1"/>
          <c:tx>
            <c:strRef>
              <c:f>Burnup!$C$4</c:f>
              <c:strCache>
                <c:ptCount val="1"/>
                <c:pt idx="0">
                  <c:v>Réalisé (SP)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Burnup!$A$5:$A$13</c:f>
              <c:strCache>
                <c:ptCount val="9"/>
                <c:pt idx="0">
                  <c:v>Départ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  <c:pt idx="6">
                  <c:v>S6</c:v>
                </c:pt>
                <c:pt idx="7">
                  <c:v>S7</c:v>
                </c:pt>
                <c:pt idx="8">
                  <c:v>S8</c:v>
                </c:pt>
              </c:strCache>
            </c:strRef>
          </c:cat>
          <c:val>
            <c:numRef>
              <c:f>Burnup!$C$5:$C$13</c:f>
              <c:numCache>
                <c:formatCode>General</c:formatCode>
                <c:ptCount val="9"/>
                <c:pt idx="0">
                  <c:v>0</c:v>
                </c:pt>
                <c:pt idx="1">
                  <c:v>12</c:v>
                </c:pt>
                <c:pt idx="2">
                  <c:v>30</c:v>
                </c:pt>
                <c:pt idx="3">
                  <c:v>47</c:v>
                </c:pt>
                <c:pt idx="4">
                  <c:v>60</c:v>
                </c:pt>
                <c:pt idx="5">
                  <c:v>76</c:v>
                </c:pt>
                <c:pt idx="6">
                  <c:v>95</c:v>
                </c:pt>
                <c:pt idx="7">
                  <c:v>120</c:v>
                </c:pt>
                <c:pt idx="8">
                  <c:v>132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5B-4822-A8DB-F869EB622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Sprint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SP cumulés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workbookViewId="0">
      <pane ySplit="4" topLeftCell="A5" activePane="bottomLeft" state="frozen"/>
      <selection pane="bottomLeft" activeCell="A2" sqref="A2:H2"/>
    </sheetView>
  </sheetViews>
  <sheetFormatPr baseColWidth="10" defaultColWidth="8.88671875" defaultRowHeight="14.4" x14ac:dyDescent="0.3"/>
  <cols>
    <col min="1" max="1" width="7" customWidth="1"/>
    <col min="2" max="2" width="20" customWidth="1"/>
    <col min="3" max="3" width="15" customWidth="1"/>
    <col min="4" max="4" width="16" customWidth="1"/>
    <col min="5" max="5" width="40" customWidth="1"/>
    <col min="6" max="6" width="34" customWidth="1"/>
    <col min="7" max="8" width="20" customWidth="1"/>
  </cols>
  <sheetData>
    <row r="1" spans="1:8" ht="25.95" customHeight="1" x14ac:dyDescent="0.3">
      <c r="A1" s="19" t="s">
        <v>90</v>
      </c>
      <c r="B1" s="18"/>
      <c r="C1" s="18"/>
      <c r="D1" s="18"/>
      <c r="E1" s="18"/>
      <c r="F1" s="18"/>
      <c r="G1" s="18"/>
      <c r="H1" s="18"/>
    </row>
    <row r="2" spans="1:8" ht="16.05" customHeight="1" x14ac:dyDescent="0.3">
      <c r="A2" s="17" t="s">
        <v>91</v>
      </c>
      <c r="B2" s="18"/>
      <c r="C2" s="18"/>
      <c r="D2" s="18"/>
      <c r="E2" s="18"/>
      <c r="F2" s="18"/>
      <c r="G2" s="18"/>
      <c r="H2" s="18"/>
    </row>
    <row r="4" spans="1:8" ht="28.0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34.049999999999997" customHeight="1" x14ac:dyDescent="0.3">
      <c r="A5" s="2" t="s">
        <v>8</v>
      </c>
      <c r="B5" s="3" t="s">
        <v>9</v>
      </c>
      <c r="C5" s="2">
        <v>5</v>
      </c>
      <c r="D5" s="2">
        <v>13</v>
      </c>
      <c r="E5" s="4" t="s">
        <v>10</v>
      </c>
      <c r="F5" s="4" t="s">
        <v>11</v>
      </c>
      <c r="G5" s="5" t="s">
        <v>12</v>
      </c>
      <c r="H5" s="4" t="s">
        <v>13</v>
      </c>
    </row>
    <row r="6" spans="1:8" ht="34.049999999999997" customHeight="1" x14ac:dyDescent="0.3">
      <c r="A6" s="2" t="s">
        <v>14</v>
      </c>
      <c r="B6" s="3" t="s">
        <v>15</v>
      </c>
      <c r="C6" s="2">
        <v>5</v>
      </c>
      <c r="D6" s="2">
        <v>16</v>
      </c>
      <c r="E6" s="4" t="s">
        <v>16</v>
      </c>
      <c r="F6" s="4" t="s">
        <v>17</v>
      </c>
      <c r="G6" s="5" t="s">
        <v>12</v>
      </c>
      <c r="H6" s="4" t="s">
        <v>18</v>
      </c>
    </row>
    <row r="7" spans="1:8" ht="34.049999999999997" customHeight="1" x14ac:dyDescent="0.3">
      <c r="A7" s="2" t="s">
        <v>19</v>
      </c>
      <c r="B7" s="3" t="s">
        <v>20</v>
      </c>
      <c r="C7" s="2">
        <v>5</v>
      </c>
      <c r="D7" s="2">
        <v>13</v>
      </c>
      <c r="E7" s="4" t="s">
        <v>21</v>
      </c>
      <c r="F7" s="4" t="s">
        <v>22</v>
      </c>
      <c r="G7" s="5" t="s">
        <v>12</v>
      </c>
      <c r="H7" s="4" t="s">
        <v>23</v>
      </c>
    </row>
    <row r="8" spans="1:8" ht="34.049999999999997" customHeight="1" x14ac:dyDescent="0.3">
      <c r="A8" s="2" t="s">
        <v>24</v>
      </c>
      <c r="B8" s="3" t="s">
        <v>25</v>
      </c>
      <c r="C8" s="2">
        <v>5</v>
      </c>
      <c r="D8" s="2">
        <v>13</v>
      </c>
      <c r="E8" s="4" t="s">
        <v>26</v>
      </c>
      <c r="F8" s="4" t="s">
        <v>27</v>
      </c>
      <c r="G8" s="5" t="s">
        <v>12</v>
      </c>
      <c r="H8" s="4" t="s">
        <v>28</v>
      </c>
    </row>
    <row r="9" spans="1:8" ht="34.049999999999997" customHeight="1" x14ac:dyDescent="0.3">
      <c r="A9" s="2" t="s">
        <v>29</v>
      </c>
      <c r="B9" s="3" t="s">
        <v>30</v>
      </c>
      <c r="C9" s="2">
        <v>3</v>
      </c>
      <c r="D9" s="2">
        <v>16</v>
      </c>
      <c r="E9" s="4" t="s">
        <v>31</v>
      </c>
      <c r="F9" s="4" t="s">
        <v>32</v>
      </c>
      <c r="G9" s="5" t="s">
        <v>33</v>
      </c>
      <c r="H9" s="4" t="s">
        <v>34</v>
      </c>
    </row>
    <row r="10" spans="1:8" ht="34.049999999999997" customHeight="1" x14ac:dyDescent="0.3">
      <c r="A10" s="2" t="s">
        <v>35</v>
      </c>
      <c r="B10" s="3" t="s">
        <v>36</v>
      </c>
      <c r="C10" s="2">
        <v>8</v>
      </c>
      <c r="D10" s="2">
        <v>21</v>
      </c>
      <c r="E10" s="4" t="s">
        <v>37</v>
      </c>
      <c r="F10" s="4" t="s">
        <v>38</v>
      </c>
      <c r="G10" s="6" t="s">
        <v>39</v>
      </c>
      <c r="H10" s="4" t="s">
        <v>40</v>
      </c>
    </row>
    <row r="11" spans="1:8" ht="34.049999999999997" customHeight="1" x14ac:dyDescent="0.3">
      <c r="A11" s="2" t="s">
        <v>41</v>
      </c>
      <c r="B11" s="3" t="s">
        <v>42</v>
      </c>
      <c r="C11" s="2">
        <v>5</v>
      </c>
      <c r="D11" s="2">
        <v>16</v>
      </c>
      <c r="E11" s="4" t="s">
        <v>43</v>
      </c>
      <c r="F11" s="4" t="s">
        <v>44</v>
      </c>
      <c r="G11" s="6" t="s">
        <v>45</v>
      </c>
      <c r="H11" s="4" t="s">
        <v>46</v>
      </c>
    </row>
    <row r="12" spans="1:8" ht="34.049999999999997" customHeight="1" x14ac:dyDescent="0.3">
      <c r="A12" s="2" t="s">
        <v>47</v>
      </c>
      <c r="B12" s="3" t="s">
        <v>48</v>
      </c>
      <c r="C12" s="2">
        <v>0</v>
      </c>
      <c r="D12" s="2">
        <v>0</v>
      </c>
      <c r="E12" s="4" t="s">
        <v>49</v>
      </c>
      <c r="F12" s="4" t="s">
        <v>50</v>
      </c>
      <c r="G12" s="2" t="s">
        <v>13</v>
      </c>
      <c r="H12" s="4" t="s">
        <v>13</v>
      </c>
    </row>
    <row r="13" spans="1:8" x14ac:dyDescent="0.3">
      <c r="B13" s="7" t="s">
        <v>51</v>
      </c>
      <c r="C13" s="7">
        <f>SUM(C5:C12)</f>
        <v>36</v>
      </c>
      <c r="D13" s="7">
        <f>SUM(D5:D12)</f>
        <v>108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selection sqref="A1:D1"/>
    </sheetView>
  </sheetViews>
  <sheetFormatPr baseColWidth="10" defaultColWidth="8.88671875" defaultRowHeight="14.4" x14ac:dyDescent="0.3"/>
  <cols>
    <col min="1" max="1" width="12" customWidth="1"/>
    <col min="2" max="2" width="16" customWidth="1"/>
    <col min="3" max="3" width="14" customWidth="1"/>
    <col min="4" max="4" width="60" customWidth="1"/>
  </cols>
  <sheetData>
    <row r="1" spans="1:4" ht="24" customHeight="1" x14ac:dyDescent="0.3">
      <c r="A1" s="20" t="s">
        <v>52</v>
      </c>
      <c r="B1" s="18"/>
      <c r="C1" s="18"/>
      <c r="D1" s="18"/>
    </row>
    <row r="2" spans="1:4" x14ac:dyDescent="0.3">
      <c r="A2" s="8" t="s">
        <v>53</v>
      </c>
    </row>
    <row r="4" spans="1:4" x14ac:dyDescent="0.3">
      <c r="A4" s="9" t="s">
        <v>0</v>
      </c>
      <c r="B4" s="9" t="s">
        <v>54</v>
      </c>
      <c r="C4" s="9" t="s">
        <v>55</v>
      </c>
      <c r="D4" s="9" t="s">
        <v>56</v>
      </c>
    </row>
    <row r="5" spans="1:4" x14ac:dyDescent="0.3">
      <c r="A5" s="10" t="s">
        <v>57</v>
      </c>
      <c r="B5" s="11">
        <v>100</v>
      </c>
      <c r="C5" s="11">
        <v>0</v>
      </c>
      <c r="D5" s="12" t="s">
        <v>58</v>
      </c>
    </row>
    <row r="6" spans="1:4" x14ac:dyDescent="0.3">
      <c r="A6" s="10" t="s">
        <v>8</v>
      </c>
      <c r="B6" s="11">
        <v>116</v>
      </c>
      <c r="C6" s="11">
        <v>12</v>
      </c>
      <c r="D6" s="12" t="s">
        <v>59</v>
      </c>
    </row>
    <row r="7" spans="1:4" x14ac:dyDescent="0.3">
      <c r="A7" s="10" t="s">
        <v>14</v>
      </c>
      <c r="B7" s="11">
        <v>116</v>
      </c>
      <c r="C7" s="11">
        <v>30</v>
      </c>
      <c r="D7" s="12"/>
    </row>
    <row r="8" spans="1:4" x14ac:dyDescent="0.3">
      <c r="A8" s="10" t="s">
        <v>19</v>
      </c>
      <c r="B8" s="11">
        <v>121</v>
      </c>
      <c r="C8" s="11">
        <v>47</v>
      </c>
      <c r="D8" s="12" t="s">
        <v>60</v>
      </c>
    </row>
    <row r="9" spans="1:4" x14ac:dyDescent="0.3">
      <c r="A9" s="10" t="s">
        <v>24</v>
      </c>
      <c r="B9" s="11">
        <v>121</v>
      </c>
      <c r="C9" s="11">
        <v>60</v>
      </c>
      <c r="D9" s="12"/>
    </row>
    <row r="10" spans="1:4" x14ac:dyDescent="0.3">
      <c r="A10" s="10" t="s">
        <v>29</v>
      </c>
      <c r="B10" s="11">
        <v>142</v>
      </c>
      <c r="C10" s="11">
        <v>76</v>
      </c>
      <c r="D10" s="12" t="s">
        <v>61</v>
      </c>
    </row>
    <row r="11" spans="1:4" x14ac:dyDescent="0.3">
      <c r="A11" s="10" t="s">
        <v>35</v>
      </c>
      <c r="B11" s="11">
        <v>202</v>
      </c>
      <c r="C11" s="11">
        <v>95</v>
      </c>
      <c r="D11" s="12" t="s">
        <v>62</v>
      </c>
    </row>
    <row r="12" spans="1:4" x14ac:dyDescent="0.3">
      <c r="A12" s="10" t="s">
        <v>41</v>
      </c>
      <c r="B12" s="11">
        <v>202</v>
      </c>
      <c r="C12" s="11">
        <v>120</v>
      </c>
      <c r="D12" s="12" t="s">
        <v>63</v>
      </c>
    </row>
    <row r="13" spans="1:4" x14ac:dyDescent="0.3">
      <c r="A13" s="10" t="s">
        <v>47</v>
      </c>
      <c r="B13" s="11">
        <v>202</v>
      </c>
      <c r="C13" s="11">
        <v>132</v>
      </c>
      <c r="D13" s="12" t="s">
        <v>64</v>
      </c>
    </row>
    <row r="15" spans="1:4" x14ac:dyDescent="0.3">
      <c r="A15" s="13" t="s">
        <v>65</v>
      </c>
      <c r="B15" s="14">
        <f>B13-C13</f>
        <v>70</v>
      </c>
    </row>
    <row r="16" spans="1:4" x14ac:dyDescent="0.3">
      <c r="A16" s="13" t="s">
        <v>66</v>
      </c>
      <c r="B16" s="21" t="s">
        <v>67</v>
      </c>
      <c r="C16" s="18"/>
      <c r="D16" s="18"/>
    </row>
  </sheetData>
  <mergeCells count="2">
    <mergeCell ref="A1:D1"/>
    <mergeCell ref="B16:D1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showGridLines="0" workbookViewId="0">
      <selection sqref="A1:C1"/>
    </sheetView>
  </sheetViews>
  <sheetFormatPr baseColWidth="10" defaultColWidth="8.88671875" defaultRowHeight="14.4" x14ac:dyDescent="0.3"/>
  <cols>
    <col min="1" max="1" width="9" customWidth="1"/>
    <col min="2" max="2" width="24" customWidth="1"/>
    <col min="3" max="3" width="84" customWidth="1"/>
  </cols>
  <sheetData>
    <row r="1" spans="1:3" ht="24" customHeight="1" x14ac:dyDescent="0.3">
      <c r="A1" s="20" t="s">
        <v>68</v>
      </c>
      <c r="B1" s="18"/>
      <c r="C1" s="18"/>
    </row>
    <row r="3" spans="1:3" x14ac:dyDescent="0.3">
      <c r="A3" s="9" t="s">
        <v>69</v>
      </c>
      <c r="B3" s="9" t="s">
        <v>70</v>
      </c>
      <c r="C3" s="9" t="s">
        <v>71</v>
      </c>
    </row>
    <row r="4" spans="1:3" x14ac:dyDescent="0.3">
      <c r="A4" s="15" t="s">
        <v>72</v>
      </c>
      <c r="B4" s="15" t="s">
        <v>73</v>
      </c>
      <c r="C4" s="16" t="s">
        <v>74</v>
      </c>
    </row>
    <row r="5" spans="1:3" x14ac:dyDescent="0.3">
      <c r="A5" s="15" t="s">
        <v>75</v>
      </c>
      <c r="B5" s="15" t="s">
        <v>76</v>
      </c>
      <c r="C5" s="16" t="s">
        <v>77</v>
      </c>
    </row>
    <row r="6" spans="1:3" x14ac:dyDescent="0.3">
      <c r="A6" s="15" t="s">
        <v>78</v>
      </c>
      <c r="B6" s="15" t="s">
        <v>79</v>
      </c>
      <c r="C6" s="16" t="s">
        <v>80</v>
      </c>
    </row>
    <row r="7" spans="1:3" x14ac:dyDescent="0.3">
      <c r="A7" s="15" t="s">
        <v>81</v>
      </c>
      <c r="B7" s="15" t="s">
        <v>82</v>
      </c>
      <c r="C7" s="16" t="s">
        <v>83</v>
      </c>
    </row>
    <row r="8" spans="1:3" x14ac:dyDescent="0.3">
      <c r="A8" s="15" t="s">
        <v>84</v>
      </c>
      <c r="B8" s="15" t="s">
        <v>85</v>
      </c>
      <c r="C8" s="16" t="s">
        <v>86</v>
      </c>
    </row>
    <row r="9" spans="1:3" x14ac:dyDescent="0.3">
      <c r="A9" s="15" t="s">
        <v>87</v>
      </c>
      <c r="B9" s="15" t="s">
        <v>88</v>
      </c>
      <c r="C9" s="16" t="s">
        <v>89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Release Planning</vt:lpstr>
      <vt:lpstr>Burnup</vt:lpstr>
      <vt:lpstr>Historique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compta flinlo</cp:lastModifiedBy>
  <dcterms:created xsi:type="dcterms:W3CDTF">2026-07-02T09:01:34Z</dcterms:created>
  <dcterms:modified xsi:type="dcterms:W3CDTF">2026-07-02T09:42:28Z</dcterms:modified>
</cp:coreProperties>
</file>