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zag\Desktop\claude brain\apocalipssi\sources-brutes\"/>
    </mc:Choice>
  </mc:AlternateContent>
  <xr:revisionPtr revIDLastSave="0" documentId="13_ncr:1_{3773AB2B-A47D-4B67-9815-699913FC595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isques" sheetId="1" r:id="rId1"/>
    <sheet name="Matrice" sheetId="2" r:id="rId2"/>
    <sheet name="Historiqu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G12" i="1"/>
  <c r="F12" i="1"/>
  <c r="F11" i="1"/>
  <c r="G11" i="1" s="1"/>
  <c r="G10" i="1"/>
  <c r="F10" i="1"/>
  <c r="G9" i="1"/>
  <c r="F9" i="1"/>
  <c r="F8" i="1"/>
  <c r="G8" i="1" s="1"/>
  <c r="G7" i="1"/>
  <c r="F7" i="1"/>
  <c r="F6" i="1"/>
  <c r="G6" i="1" s="1"/>
  <c r="F5" i="1"/>
  <c r="G5" i="1" s="1"/>
</calcChain>
</file>

<file path=xl/sharedStrings.xml><?xml version="1.0" encoding="utf-8"?>
<sst xmlns="http://schemas.openxmlformats.org/spreadsheetml/2006/main" count="99" uniqueCount="86">
  <si>
    <t>APOCAL'IPSSI 2026 · EduTutor IA — ANALYSE DE RISQUES (J5)</t>
  </si>
  <si>
    <t>ID</t>
  </si>
  <si>
    <t>Risque</t>
  </si>
  <si>
    <t>Axe</t>
  </si>
  <si>
    <t>Proba (1-3)</t>
  </si>
  <si>
    <t>Impact (1-3)</t>
  </si>
  <si>
    <t>Exposition</t>
  </si>
  <si>
    <t>Niveau</t>
  </si>
  <si>
    <t>Action préventive</t>
  </si>
  <si>
    <t>Estim. (SP)</t>
  </si>
  <si>
    <t>Effet</t>
  </si>
  <si>
    <t>Backlog</t>
  </si>
  <si>
    <t>R1</t>
  </si>
  <si>
    <t>Saturation des serveurs au pic national (buzz TV)</t>
  </si>
  <si>
    <t>scale</t>
  </si>
  <si>
    <t>Test de charge + cache Redis + autoscaling</t>
  </si>
  <si>
    <t>13</t>
  </si>
  <si>
    <t>I↓</t>
  </si>
  <si>
    <t>US-21</t>
  </si>
  <si>
    <t>R2</t>
  </si>
  <si>
    <t>Coût cloud excessif sous forte charge</t>
  </si>
  <si>
    <t>Autoscaling borné + quotas + monitoring coût</t>
  </si>
  <si>
    <t>5</t>
  </si>
  <si>
    <t>US-22</t>
  </si>
  <si>
    <t>R3</t>
  </si>
  <si>
    <t>Panne du fournisseur/instance LLM (indispo génération)</t>
  </si>
  <si>
    <t>Fournisseur LLM de secours (fallback configurable)</t>
  </si>
  <si>
    <t>US-23</t>
  </si>
  <si>
    <t>R4</t>
  </si>
  <si>
    <t>Non-conformité RGAA → refus d'adoption par l'État</t>
  </si>
  <si>
    <t>a11y</t>
  </si>
  <si>
    <t>Audit RGAA + nav. clavier/focus + contrastes AA</t>
  </si>
  <si>
    <t>P↓</t>
  </si>
  <si>
    <t>US-24/25</t>
  </si>
  <si>
    <t>R5</t>
  </si>
  <si>
    <t>Textes non traduits / hardcodés (i18n incomplet)</t>
  </si>
  <si>
    <t>i18n</t>
  </si>
  <si>
    <t>Externalisation des textes (fichiers de langue) + revue</t>
  </si>
  <si>
    <t>8</t>
  </si>
  <si>
    <t>US-27/28</t>
  </si>
  <si>
    <t>R6</t>
  </si>
  <si>
    <t>Fuite de données scolaires (mineurs) / non-conformité RGPD</t>
  </si>
  <si>
    <t>rgpd</t>
  </si>
  <si>
    <t>Rester 100% local (souverain) + revue sécurité + SAR</t>
  </si>
  <si>
    <t>3</t>
  </si>
  <si>
    <t>US-17/18</t>
  </si>
  <si>
    <t>R7</t>
  </si>
  <si>
    <t>Dette technique / régressions sous pression des perturbations</t>
  </si>
  <si>
    <t>tech</t>
  </si>
  <si>
    <t>CI verte obligatoire + tests + revues de PR (surveiller)</t>
  </si>
  <si>
    <t>transverse</t>
  </si>
  <si>
    <t>R8</t>
  </si>
  <si>
    <t>Latence LLM dégrade l'UX (&gt;60 s)</t>
  </si>
  <si>
    <t>Accepter : mesuré à ~11 s p95 (sous le seuil) — surveiller</t>
  </si>
  <si>
    <t>0</t>
  </si>
  <si>
    <t>—</t>
  </si>
  <si>
    <t>US-08</t>
  </si>
  <si>
    <t>TOTAL SP actions préventives</t>
  </si>
  <si>
    <t>MATRICE PROBABILITÉ × IMPACT</t>
  </si>
  <si>
    <t>Chaque case = Exposition (P×I) et les risques qui s'y trouvent. Rouge ≥6 → action préventive obligatoire au backlog.</t>
  </si>
  <si>
    <t>IMPACT →</t>
  </si>
  <si>
    <t>Faible (1)</t>
  </si>
  <si>
    <t>Moyen (2)</t>
  </si>
  <si>
    <t>Fort (3)</t>
  </si>
  <si>
    <t>PROBA ↓</t>
  </si>
  <si>
    <t>Élevée (3)</t>
  </si>
  <si>
    <t>R5
(expo 6)</t>
  </si>
  <si>
    <t>R1
(expo 9)</t>
  </si>
  <si>
    <t>Moyenne (2)</t>
  </si>
  <si>
    <t>2</t>
  </si>
  <si>
    <t>R7
(expo 4)</t>
  </si>
  <si>
    <t>R2, R3, R4
(expo 6)</t>
  </si>
  <si>
    <t>1</t>
  </si>
  <si>
    <t>R8
(expo 2)</t>
  </si>
  <si>
    <t>R6
(expo 3)</t>
  </si>
  <si>
    <t>Rouge ≥6 : traiter en priorité</t>
  </si>
  <si>
    <t>Orange 3-5 : surveiller</t>
  </si>
  <si>
    <t>Vert &lt;3 : accepter</t>
  </si>
  <si>
    <t>Historique des versions — Analyse de risques</t>
  </si>
  <si>
    <t>Version</t>
  </si>
  <si>
    <t>Jour / Date</t>
  </si>
  <si>
    <t>Évolution</t>
  </si>
  <si>
    <t>v1.0</t>
  </si>
  <si>
    <t>J5 — 02/07</t>
  </si>
  <si>
    <t>Création : 8 risques notés en matrice P×I ; 5 risques prioritaires (rouge) → actions préventives estimées et poussées au Product Backlog (US-21 à 27, [risk]).</t>
  </si>
  <si>
    <t>Équipe 3 — Dillon AZAG, Youcef OULD KACI, Erwan MARCHAND, Steven JANSENS, Rayan Degane WAFO MBE, Nassim DEFLANDRE  |  Exposition = Probabilité × Impact (1-3) · ≥6 rouge (prioritaire) · 3-5 orange · &lt;3 vert  |  v1.0 (J5, 02/07/2026)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</si>
</sst>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8"/>
      <color rgb="FF475569"/>
      <name val="Arial"/>
    </font>
    <font>
      <b/>
      <sz val="9"/>
      <color rgb="FFFFFFFF"/>
      <name val="Arial"/>
    </font>
    <font>
      <sz val="9"/>
      <color rgb="FF0F172A"/>
      <name val="Arial"/>
    </font>
    <font>
      <b/>
      <sz val="10"/>
      <color rgb="FF0F172A"/>
      <name val="Arial"/>
    </font>
    <font>
      <b/>
      <sz val="11"/>
      <name val="Arial"/>
    </font>
    <font>
      <b/>
      <sz val="14"/>
      <color rgb="FFFFFFFF"/>
      <name val="Arial"/>
    </font>
    <font>
      <b/>
      <sz val="11"/>
      <color rgb="FF1E1B4B"/>
      <name val="Arial"/>
    </font>
    <font>
      <b/>
      <sz val="11"/>
      <color rgb="FFFFFFFF"/>
      <name val="Arial"/>
    </font>
    <font>
      <b/>
      <sz val="9"/>
      <color rgb="FF0F172A"/>
      <name val="Arial"/>
    </font>
    <font>
      <sz val="9"/>
      <name val="Arial"/>
    </font>
    <font>
      <b/>
      <sz val="13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E1B4B"/>
      </patternFill>
    </fill>
    <fill>
      <patternFill patternType="solid">
        <fgColor rgb="FFF87171"/>
      </patternFill>
    </fill>
    <fill>
      <patternFill patternType="solid">
        <fgColor rgb="FFFBBF24"/>
      </patternFill>
    </fill>
    <fill>
      <patternFill patternType="solid">
        <fgColor rgb="FF86EFA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6" fillId="6" borderId="1" xfId="0" applyFont="1" applyFill="1" applyBorder="1" applyAlignment="1">
      <alignment horizontal="center"/>
    </xf>
    <xf numFmtId="0" fontId="2" fillId="0" borderId="0" xfId="0" applyFont="1"/>
    <xf numFmtId="0" fontId="8" fillId="0" borderId="0" xfId="0" applyFont="1"/>
    <xf numFmtId="0" fontId="0" fillId="2" borderId="0" xfId="0" applyFill="1"/>
    <xf numFmtId="0" fontId="9" fillId="2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3" borderId="1" xfId="0" applyFont="1" applyFill="1" applyBorder="1"/>
    <xf numFmtId="0" fontId="11" fillId="4" borderId="1" xfId="0" applyFont="1" applyFill="1" applyBorder="1"/>
    <xf numFmtId="0" fontId="11" fillId="5" borderId="1" xfId="0" applyFont="1" applyFill="1" applyBorder="1"/>
    <xf numFmtId="0" fontId="9" fillId="2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vertical="top" wrapText="1"/>
    </xf>
    <xf numFmtId="0" fontId="2" fillId="0" borderId="0" xfId="0" applyFont="1" applyAlignment="1">
      <alignment vertical="center" indent="1"/>
    </xf>
    <xf numFmtId="0" fontId="0" fillId="0" borderId="0" xfId="0"/>
    <xf numFmtId="0" fontId="1" fillId="2" borderId="0" xfId="0" applyFont="1" applyFill="1" applyAlignment="1">
      <alignment vertical="center" indent="1"/>
    </xf>
    <xf numFmtId="0" fontId="7" fillId="2" borderId="0" xfId="0" applyFont="1" applyFill="1" applyAlignment="1">
      <alignment vertical="center" indent="1"/>
    </xf>
    <xf numFmtId="0" fontId="12" fillId="2" borderId="0" xfId="0" applyFont="1" applyFill="1" applyAlignment="1">
      <alignment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showGridLines="0" workbookViewId="0">
      <pane ySplit="4" topLeftCell="A5" activePane="bottomLeft" state="frozen"/>
      <selection pane="bottomLeft" activeCell="A2" sqref="A2:K2"/>
    </sheetView>
  </sheetViews>
  <sheetFormatPr baseColWidth="10" defaultColWidth="8.88671875" defaultRowHeight="14.4" x14ac:dyDescent="0.3"/>
  <cols>
    <col min="1" max="1" width="6" customWidth="1"/>
    <col min="2" max="2" width="40" customWidth="1"/>
    <col min="3" max="3" width="8" customWidth="1"/>
    <col min="4" max="6" width="11" customWidth="1"/>
    <col min="7" max="7" width="13" customWidth="1"/>
    <col min="8" max="8" width="40" customWidth="1"/>
    <col min="9" max="9" width="10" customWidth="1"/>
    <col min="10" max="10" width="8" customWidth="1"/>
    <col min="11" max="11" width="12" customWidth="1"/>
  </cols>
  <sheetData>
    <row r="1" spans="1:11" ht="25.95" customHeight="1" x14ac:dyDescent="0.3">
      <c r="A1" s="29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16.05" customHeight="1" x14ac:dyDescent="0.3">
      <c r="A2" s="27" t="s">
        <v>85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4" spans="1:11" ht="30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5" spans="1:11" ht="30" customHeight="1" x14ac:dyDescent="0.3">
      <c r="A5" s="2" t="s">
        <v>12</v>
      </c>
      <c r="B5" s="3" t="s">
        <v>13</v>
      </c>
      <c r="C5" s="2" t="s">
        <v>14</v>
      </c>
      <c r="D5" s="2">
        <v>3</v>
      </c>
      <c r="E5" s="2">
        <v>3</v>
      </c>
      <c r="F5" s="4">
        <f t="shared" ref="F5:F12" si="0">D5*E5</f>
        <v>9</v>
      </c>
      <c r="G5" s="5" t="str">
        <f t="shared" ref="G5:G12" si="1">IF(F5&gt;=6,"Prioritaire",IF(F5&gt;=3,"À surveiller","Accepté"))</f>
        <v>Prioritaire</v>
      </c>
      <c r="H5" s="3" t="s">
        <v>15</v>
      </c>
      <c r="I5" s="2" t="s">
        <v>16</v>
      </c>
      <c r="J5" s="2" t="s">
        <v>17</v>
      </c>
      <c r="K5" s="2" t="s">
        <v>18</v>
      </c>
    </row>
    <row r="6" spans="1:11" ht="30" customHeight="1" x14ac:dyDescent="0.3">
      <c r="A6" s="2" t="s">
        <v>19</v>
      </c>
      <c r="B6" s="3" t="s">
        <v>20</v>
      </c>
      <c r="C6" s="2" t="s">
        <v>14</v>
      </c>
      <c r="D6" s="2">
        <v>2</v>
      </c>
      <c r="E6" s="2">
        <v>3</v>
      </c>
      <c r="F6" s="4">
        <f t="shared" si="0"/>
        <v>6</v>
      </c>
      <c r="G6" s="5" t="str">
        <f t="shared" si="1"/>
        <v>Prioritaire</v>
      </c>
      <c r="H6" s="3" t="s">
        <v>21</v>
      </c>
      <c r="I6" s="2" t="s">
        <v>22</v>
      </c>
      <c r="J6" s="2" t="s">
        <v>17</v>
      </c>
      <c r="K6" s="2" t="s">
        <v>23</v>
      </c>
    </row>
    <row r="7" spans="1:11" ht="30" customHeight="1" x14ac:dyDescent="0.3">
      <c r="A7" s="2" t="s">
        <v>24</v>
      </c>
      <c r="B7" s="3" t="s">
        <v>25</v>
      </c>
      <c r="C7" s="2" t="s">
        <v>14</v>
      </c>
      <c r="D7" s="2">
        <v>2</v>
      </c>
      <c r="E7" s="2">
        <v>3</v>
      </c>
      <c r="F7" s="4">
        <f t="shared" si="0"/>
        <v>6</v>
      </c>
      <c r="G7" s="5" t="str">
        <f t="shared" si="1"/>
        <v>Prioritaire</v>
      </c>
      <c r="H7" s="3" t="s">
        <v>26</v>
      </c>
      <c r="I7" s="2" t="s">
        <v>22</v>
      </c>
      <c r="J7" s="2" t="s">
        <v>17</v>
      </c>
      <c r="K7" s="2" t="s">
        <v>27</v>
      </c>
    </row>
    <row r="8" spans="1:11" ht="30" customHeight="1" x14ac:dyDescent="0.3">
      <c r="A8" s="2" t="s">
        <v>28</v>
      </c>
      <c r="B8" s="3" t="s">
        <v>29</v>
      </c>
      <c r="C8" s="2" t="s">
        <v>30</v>
      </c>
      <c r="D8" s="2">
        <v>2</v>
      </c>
      <c r="E8" s="2">
        <v>3</v>
      </c>
      <c r="F8" s="4">
        <f t="shared" si="0"/>
        <v>6</v>
      </c>
      <c r="G8" s="5" t="str">
        <f t="shared" si="1"/>
        <v>Prioritaire</v>
      </c>
      <c r="H8" s="3" t="s">
        <v>31</v>
      </c>
      <c r="I8" s="2" t="s">
        <v>16</v>
      </c>
      <c r="J8" s="2" t="s">
        <v>32</v>
      </c>
      <c r="K8" s="2" t="s">
        <v>33</v>
      </c>
    </row>
    <row r="9" spans="1:11" ht="30" customHeight="1" x14ac:dyDescent="0.3">
      <c r="A9" s="2" t="s">
        <v>34</v>
      </c>
      <c r="B9" s="3" t="s">
        <v>35</v>
      </c>
      <c r="C9" s="2" t="s">
        <v>36</v>
      </c>
      <c r="D9" s="2">
        <v>3</v>
      </c>
      <c r="E9" s="2">
        <v>2</v>
      </c>
      <c r="F9" s="4">
        <f t="shared" si="0"/>
        <v>6</v>
      </c>
      <c r="G9" s="5" t="str">
        <f t="shared" si="1"/>
        <v>Prioritaire</v>
      </c>
      <c r="H9" s="3" t="s">
        <v>37</v>
      </c>
      <c r="I9" s="2" t="s">
        <v>38</v>
      </c>
      <c r="J9" s="2" t="s">
        <v>32</v>
      </c>
      <c r="K9" s="2" t="s">
        <v>39</v>
      </c>
    </row>
    <row r="10" spans="1:11" ht="30" customHeight="1" x14ac:dyDescent="0.3">
      <c r="A10" s="2" t="s">
        <v>40</v>
      </c>
      <c r="B10" s="3" t="s">
        <v>41</v>
      </c>
      <c r="C10" s="2" t="s">
        <v>42</v>
      </c>
      <c r="D10" s="2">
        <v>1</v>
      </c>
      <c r="E10" s="2">
        <v>3</v>
      </c>
      <c r="F10" s="6">
        <f t="shared" si="0"/>
        <v>3</v>
      </c>
      <c r="G10" s="7" t="str">
        <f t="shared" si="1"/>
        <v>À surveiller</v>
      </c>
      <c r="H10" s="3" t="s">
        <v>43</v>
      </c>
      <c r="I10" s="2" t="s">
        <v>44</v>
      </c>
      <c r="J10" s="2" t="s">
        <v>32</v>
      </c>
      <c r="K10" s="2" t="s">
        <v>45</v>
      </c>
    </row>
    <row r="11" spans="1:11" ht="30" customHeight="1" x14ac:dyDescent="0.3">
      <c r="A11" s="2" t="s">
        <v>46</v>
      </c>
      <c r="B11" s="3" t="s">
        <v>47</v>
      </c>
      <c r="C11" s="2" t="s">
        <v>48</v>
      </c>
      <c r="D11" s="2">
        <v>2</v>
      </c>
      <c r="E11" s="2">
        <v>2</v>
      </c>
      <c r="F11" s="6">
        <f t="shared" si="0"/>
        <v>4</v>
      </c>
      <c r="G11" s="7" t="str">
        <f t="shared" si="1"/>
        <v>À surveiller</v>
      </c>
      <c r="H11" s="3" t="s">
        <v>49</v>
      </c>
      <c r="I11" s="2" t="s">
        <v>44</v>
      </c>
      <c r="J11" s="2" t="s">
        <v>32</v>
      </c>
      <c r="K11" s="2" t="s">
        <v>50</v>
      </c>
    </row>
    <row r="12" spans="1:11" ht="30" customHeight="1" x14ac:dyDescent="0.3">
      <c r="A12" s="2" t="s">
        <v>51</v>
      </c>
      <c r="B12" s="3" t="s">
        <v>52</v>
      </c>
      <c r="C12" s="2" t="s">
        <v>48</v>
      </c>
      <c r="D12" s="2">
        <v>1</v>
      </c>
      <c r="E12" s="2">
        <v>2</v>
      </c>
      <c r="F12" s="8">
        <f t="shared" si="0"/>
        <v>2</v>
      </c>
      <c r="G12" s="9" t="str">
        <f t="shared" si="1"/>
        <v>Accepté</v>
      </c>
      <c r="H12" s="3" t="s">
        <v>53</v>
      </c>
      <c r="I12" s="2" t="s">
        <v>54</v>
      </c>
      <c r="J12" s="2" t="s">
        <v>55</v>
      </c>
      <c r="K12" s="2" t="s">
        <v>56</v>
      </c>
    </row>
    <row r="13" spans="1:11" x14ac:dyDescent="0.3">
      <c r="H13" s="10" t="s">
        <v>57</v>
      </c>
      <c r="I13" s="11">
        <f>SUM(I5:I12)</f>
        <v>0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showGridLines="0" workbookViewId="0">
      <selection activeCell="J6" sqref="J6"/>
    </sheetView>
  </sheetViews>
  <sheetFormatPr baseColWidth="10" defaultColWidth="8.88671875" defaultRowHeight="14.4" x14ac:dyDescent="0.3"/>
  <cols>
    <col min="1" max="1" width="12" customWidth="1"/>
    <col min="2" max="5" width="22" customWidth="1"/>
  </cols>
  <sheetData>
    <row r="1" spans="1:5" ht="24" customHeight="1" x14ac:dyDescent="0.3">
      <c r="A1" s="30" t="s">
        <v>58</v>
      </c>
      <c r="B1" s="28"/>
      <c r="C1" s="28"/>
      <c r="D1" s="28"/>
      <c r="E1" s="28"/>
    </row>
    <row r="2" spans="1:5" x14ac:dyDescent="0.3">
      <c r="A2" s="12" t="s">
        <v>59</v>
      </c>
    </row>
    <row r="4" spans="1:5" x14ac:dyDescent="0.3">
      <c r="C4" s="13" t="s">
        <v>60</v>
      </c>
    </row>
    <row r="5" spans="1:5" x14ac:dyDescent="0.3">
      <c r="B5" s="14"/>
      <c r="C5" s="15" t="s">
        <v>61</v>
      </c>
      <c r="D5" s="15" t="s">
        <v>62</v>
      </c>
      <c r="E5" s="15" t="s">
        <v>63</v>
      </c>
    </row>
    <row r="6" spans="1:5" ht="40.049999999999997" customHeight="1" x14ac:dyDescent="0.3">
      <c r="A6" s="13" t="s">
        <v>64</v>
      </c>
      <c r="B6" s="15" t="s">
        <v>65</v>
      </c>
      <c r="C6" s="16" t="s">
        <v>44</v>
      </c>
      <c r="D6" s="17" t="s">
        <v>66</v>
      </c>
      <c r="E6" s="17" t="s">
        <v>67</v>
      </c>
    </row>
    <row r="7" spans="1:5" ht="40.049999999999997" customHeight="1" x14ac:dyDescent="0.3">
      <c r="B7" s="15" t="s">
        <v>68</v>
      </c>
      <c r="C7" s="18" t="s">
        <v>69</v>
      </c>
      <c r="D7" s="19" t="s">
        <v>70</v>
      </c>
      <c r="E7" s="17" t="s">
        <v>71</v>
      </c>
    </row>
    <row r="8" spans="1:5" ht="40.049999999999997" customHeight="1" x14ac:dyDescent="0.3">
      <c r="B8" s="15" t="s">
        <v>61</v>
      </c>
      <c r="C8" s="18" t="s">
        <v>72</v>
      </c>
      <c r="D8" s="20" t="s">
        <v>73</v>
      </c>
      <c r="E8" s="19" t="s">
        <v>74</v>
      </c>
    </row>
    <row r="10" spans="1:5" x14ac:dyDescent="0.3">
      <c r="B10" s="21" t="s">
        <v>75</v>
      </c>
    </row>
    <row r="11" spans="1:5" x14ac:dyDescent="0.3">
      <c r="B11" s="22" t="s">
        <v>76</v>
      </c>
    </row>
    <row r="12" spans="1:5" x14ac:dyDescent="0.3">
      <c r="B12" s="23" t="s">
        <v>77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showGridLines="0" tabSelected="1" workbookViewId="0">
      <selection sqref="A1:C1"/>
    </sheetView>
  </sheetViews>
  <sheetFormatPr baseColWidth="10" defaultColWidth="8.88671875" defaultRowHeight="14.4" x14ac:dyDescent="0.3"/>
  <cols>
    <col min="1" max="1" width="9" customWidth="1"/>
    <col min="2" max="2" width="24" customWidth="1"/>
    <col min="3" max="3" width="84" customWidth="1"/>
  </cols>
  <sheetData>
    <row r="1" spans="1:3" ht="24" customHeight="1" x14ac:dyDescent="0.3">
      <c r="A1" s="31" t="s">
        <v>78</v>
      </c>
      <c r="B1" s="28"/>
      <c r="C1" s="28"/>
    </row>
    <row r="3" spans="1:3" x14ac:dyDescent="0.3">
      <c r="A3" s="24" t="s">
        <v>79</v>
      </c>
      <c r="B3" s="24" t="s">
        <v>80</v>
      </c>
      <c r="C3" s="24" t="s">
        <v>81</v>
      </c>
    </row>
    <row r="4" spans="1:3" ht="26.4" x14ac:dyDescent="0.3">
      <c r="A4" s="25" t="s">
        <v>82</v>
      </c>
      <c r="B4" s="25" t="s">
        <v>83</v>
      </c>
      <c r="C4" s="26" t="s">
        <v>84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Risques</vt:lpstr>
      <vt:lpstr>Matrice</vt:lpstr>
      <vt:lpstr>Historique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compta flinlo</cp:lastModifiedBy>
  <dcterms:created xsi:type="dcterms:W3CDTF">2026-07-02T09:01:40Z</dcterms:created>
  <dcterms:modified xsi:type="dcterms:W3CDTF">2026-07-02T09:50:32Z</dcterms:modified>
</cp:coreProperties>
</file>